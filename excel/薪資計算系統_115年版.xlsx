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說明" sheetId="1" state="visible" r:id="rId3"/>
    <sheet name="欄位填寫指南" sheetId="2" state="visible" r:id="rId4"/>
    <sheet name="法規注意事項" sheetId="3" state="visible" r:id="rId5"/>
    <sheet name="參數設定" sheetId="4" state="visible" r:id="rId6"/>
    <sheet name="勞保級距表" sheetId="5" state="visible" r:id="rId7"/>
    <sheet name="職保級距表" sheetId="6" state="visible" r:id="rId8"/>
    <sheet name="健保級距表" sheetId="7" state="visible" r:id="rId9"/>
    <sheet name="勞退級距表" sheetId="8" state="visible" r:id="rId10"/>
    <sheet name="員工清單" sheetId="9" state="visible" r:id="rId11"/>
    <sheet name="眷屬名冊" sheetId="10" state="visible" r:id="rId12"/>
    <sheet name="薪資結構" sheetId="11" state="visible" r:id="rId13"/>
    <sheet name="所得稅扣繳對照" sheetId="12" state="visible" r:id="rId14"/>
    <sheet name="薪資總表" sheetId="13" state="visible" r:id="rId15"/>
    <sheet name="獎金扣繳試算" sheetId="14" state="visible" r:id="rId16"/>
    <sheet name="部門成本彙總" sheetId="15" state="visible" r:id="rId17"/>
    <sheet name="薪資條" sheetId="16" state="visible" r:id="rId18"/>
  </sheets>
  <definedNames>
    <definedName function="false" hidden="false" localSheetId="15" name="_xlnm.Print_Area" vbProcedure="false">薪資條!$A$1:$G$27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<sst xmlns="http://schemas.openxmlformats.org/spreadsheetml/2006/main" count="991" uniqueCount="642">
  <si>
    <t xml:space="preserve">台灣勞基法暨勞健保薪資計算系統（115年／2026年版）</t>
  </si>
  <si>
    <t xml:space="preserve">製表基準</t>
  </si>
  <si>
    <t xml:space="preserve">適用期間：115年1月1日起（最低工資 29,500 元）。製表日：2026/06/11。所有費率與分級表均依勞動部、勞保局、健保署最新公告建置，來源詳「法規注意事項」與各級距表表頭。</t>
  </si>
  <si>
    <t xml:space="preserve">工作表結構</t>
  </si>
  <si>
    <t xml:space="preserve">各欄位「手動填寫／自動計算」之逐欄對照與填寫時機，請見「欄位填寫指南」工作表。</t>
  </si>
  <si>
    <r>
      <rPr>
        <b val="true"/>
        <sz val="10"/>
        <rFont val="Microsoft JhengHei"/>
        <family val="0"/>
        <charset val="1"/>
      </rPr>
      <t xml:space="preserve">1. </t>
    </r>
    <r>
      <rPr>
        <b val="true"/>
        <sz val="10"/>
        <rFont val="Noto Sans CJK SC"/>
        <family val="2"/>
      </rPr>
      <t xml:space="preserve">法規注意事項</t>
    </r>
  </si>
  <si>
    <t xml:space="preserve">勞基法、勞保、就保、職保、健保、勞退、補充保費等計薪相關法規重點、法源依據與官方來源連結。</t>
  </si>
  <si>
    <r>
      <rPr>
        <b val="true"/>
        <sz val="10"/>
        <rFont val="Microsoft JhengHei"/>
        <family val="0"/>
        <charset val="1"/>
      </rPr>
      <t xml:space="preserve">2. </t>
    </r>
    <r>
      <rPr>
        <b val="true"/>
        <sz val="10"/>
        <rFont val="Noto Sans CJK SC"/>
        <family val="2"/>
      </rPr>
      <t xml:space="preserve">參數設定</t>
    </r>
  </si>
  <si>
    <t xml:space="preserve">全系統唯一的費率／負擔比例／基準日來源。每年僅需更新此表與四張級距表，全簿公式自動連動。</t>
  </si>
  <si>
    <r>
      <rPr>
        <b val="true"/>
        <sz val="10"/>
        <rFont val="Microsoft JhengHei"/>
        <family val="0"/>
        <charset val="1"/>
      </rPr>
      <t xml:space="preserve">3. </t>
    </r>
    <r>
      <rPr>
        <b val="true"/>
        <sz val="10"/>
        <rFont val="Noto Sans CJK SC"/>
        <family val="2"/>
      </rPr>
      <t xml:space="preserve">勞保／職保／健保／勞退級距表</t>
    </r>
  </si>
  <si>
    <r>
      <rPr>
        <sz val="10"/>
        <rFont val="Microsoft JhengHei"/>
        <family val="0"/>
        <charset val="1"/>
      </rPr>
      <t xml:space="preserve">115</t>
    </r>
    <r>
      <rPr>
        <sz val="10"/>
        <rFont val="Noto Sans CJK SC"/>
        <family val="2"/>
      </rPr>
      <t xml:space="preserve">年官方分級表（含公告文號），供員工清單自動帶出投保級距。</t>
    </r>
  </si>
  <si>
    <r>
      <rPr>
        <b val="true"/>
        <sz val="10"/>
        <rFont val="Microsoft JhengHei"/>
        <family val="0"/>
        <charset val="1"/>
      </rPr>
      <t xml:space="preserve">4. </t>
    </r>
    <r>
      <rPr>
        <b val="true"/>
        <sz val="10"/>
        <rFont val="Noto Sans CJK SC"/>
        <family val="2"/>
      </rPr>
      <t xml:space="preserve">員工清單</t>
    </r>
  </si>
  <si>
    <t xml:space="preserve">員工基本資料主檔：月薪資總額由「薪資結構」帶入、眷屬數由「眷屬名冊」自動統計；自動算年資、特休與四種投保級距。</t>
  </si>
  <si>
    <r>
      <rPr>
        <b val="true"/>
        <sz val="10"/>
        <rFont val="Microsoft JhengHei"/>
        <family val="0"/>
        <charset val="1"/>
      </rPr>
      <t xml:space="preserve">5. </t>
    </r>
    <r>
      <rPr>
        <b val="true"/>
        <sz val="10"/>
        <rFont val="Noto Sans CJK SC"/>
        <family val="2"/>
      </rPr>
      <t xml:space="preserve">薪資總表</t>
    </r>
  </si>
  <si>
    <t xml:space="preserve">每月薪資計算總表：填入加班時數、獎金、請假時數等變動項，自動計算應發、代扣、實發與雇主負擔、公司總成本。</t>
  </si>
  <si>
    <r>
      <rPr>
        <b val="true"/>
        <sz val="10"/>
        <rFont val="Microsoft JhengHei"/>
        <family val="0"/>
        <charset val="1"/>
      </rPr>
      <t xml:space="preserve">6. </t>
    </r>
    <r>
      <rPr>
        <b val="true"/>
        <sz val="10"/>
        <rFont val="Noto Sans CJK SC"/>
        <family val="2"/>
      </rPr>
      <t xml:space="preserve">薪資條</t>
    </r>
  </si>
  <si>
    <t xml:space="preserve">選擇員工編號即自動帶出該員當月明細，可直接列印或另存 PDF 通知員工。</t>
  </si>
  <si>
    <r>
      <rPr>
        <b val="true"/>
        <sz val="10"/>
        <rFont val="Microsoft JhengHei"/>
        <family val="0"/>
        <charset val="1"/>
      </rPr>
      <t xml:space="preserve">7. </t>
    </r>
    <r>
      <rPr>
        <b val="true"/>
        <sz val="10"/>
        <rFont val="Noto Sans CJK SC"/>
        <family val="2"/>
      </rPr>
      <t xml:space="preserve">結構／稅務／彙總</t>
    </r>
  </si>
  <si>
    <t xml:space="preserve">眷屬名冊（一對多，健保/報稅雙旗標）、薪資結構（工資項目＋最低工資檢核）、所得稅扣繳對照、獎金扣繳試算、部門成本彙總。</t>
  </si>
  <si>
    <t xml:space="preserve">每月操作步驟</t>
  </si>
  <si>
    <t xml:space="preserve">步驟 1</t>
  </si>
  <si>
    <t xml:space="preserve">確認「參數設定」之計算基準日與「薪資總表」B1 發薪年月。</t>
  </si>
  <si>
    <t xml:space="preserve">步驟 2</t>
  </si>
  <si>
    <t xml:space="preserve">在「員工清單」維護異動（新進、離職、調薪、眷屬異動、自提率）。藍字欄位為輸入，其餘自動計算。</t>
  </si>
  <si>
    <t xml:space="preserve">步驟 3</t>
  </si>
  <si>
    <t xml:space="preserve">在「薪資總表」填入當月變動：加班時數、獎金、累計獎金、請假時數、代扣所得稅、其他加扣項。</t>
  </si>
  <si>
    <t xml:space="preserve">步驟 4</t>
  </si>
  <si>
    <t xml:space="preserve">核對合計列與勞保局／健保署繳款單（計費四捨五入或有 ±1 元差異，以繳款單為準）。</t>
  </si>
  <si>
    <t xml:space="preserve">步驟 5</t>
  </si>
  <si>
    <t xml:space="preserve">至「薪資條」逐一選擇員工編號 → 檔案 → 列印 → 另存為 PDF，寄送員工（勞基法第23條要求提供工資各項目計算方式明細）。</t>
  </si>
  <si>
    <t xml:space="preserve">步驟 6</t>
  </si>
  <si>
    <t xml:space="preserve">工資清冊（本檔）依勞基法第23條至少保存 5 年。</t>
  </si>
  <si>
    <t xml:space="preserve">顏色圖例</t>
  </si>
  <si>
    <t xml:space="preserve">藍色字</t>
  </si>
  <si>
    <t xml:space="preserve">人工輸入欄位（基本資料、時數、金額）。</t>
  </si>
  <si>
    <t xml:space="preserve">黑色字</t>
  </si>
  <si>
    <t xml:space="preserve">公式自動計算，請勿覆寫。</t>
  </si>
  <si>
    <t xml:space="preserve">綠色字</t>
  </si>
  <si>
    <t xml:space="preserve">跨工作表連結帶入之資料。</t>
  </si>
  <si>
    <t xml:space="preserve">黃色底</t>
  </si>
  <si>
    <t xml:space="preserve">須依公司實際情況確認之假設（如職保行業別費率、公司名稱、基準日）。</t>
  </si>
  <si>
    <t xml:space="preserve">標題底色</t>
  </si>
  <si>
    <t xml:space="preserve">橘色標題欄＝人事手動填寫；深藍標題欄＝公式自動計算（逐欄說明見「欄位填寫指南」）。</t>
  </si>
  <si>
    <t xml:space="preserve">年度維護排程</t>
  </si>
  <si>
    <t xml:space="preserve">每年 11–12 月勞動部／健保署公告次年度級距與費率後：(1) 更新「參數設定」基本工資與費率；(2) 重貼四張級距表；(3) 確認特休、請假規則是否修法。勞保費率依勞保條例每兩年調升 0.5%，下次調升預定 116 年 1 月（屆時含就保合計 13%）。</t>
  </si>
  <si>
    <t xml:space="preserve">批次寄送薪資條</t>
  </si>
  <si>
    <r>
      <rPr>
        <sz val="10"/>
        <rFont val="Microsoft JhengHei"/>
        <family val="0"/>
        <charset val="1"/>
      </rPr>
      <t xml:space="preserve">Microsoft 365 </t>
    </r>
    <r>
      <rPr>
        <sz val="10"/>
        <rFont val="Noto Sans CJK SC"/>
        <family val="2"/>
      </rPr>
      <t xml:space="preserve">環境可用 </t>
    </r>
    <r>
      <rPr>
        <sz val="10"/>
        <rFont val="Microsoft JhengHei"/>
        <family val="0"/>
        <charset val="1"/>
      </rPr>
      <t xml:space="preserve">Power Automate</t>
    </r>
    <r>
      <rPr>
        <sz val="10"/>
        <rFont val="Noto Sans CJK SC"/>
        <family val="2"/>
      </rPr>
      <t xml:space="preserve">：以 </t>
    </r>
    <r>
      <rPr>
        <sz val="10"/>
        <rFont val="Microsoft JhengHei"/>
        <family val="0"/>
        <charset val="1"/>
      </rPr>
      <t xml:space="preserve">Excel Online (Business) </t>
    </r>
    <r>
      <rPr>
        <sz val="10"/>
        <rFont val="Noto Sans CJK SC"/>
        <family val="2"/>
      </rPr>
      <t xml:space="preserve">連接器逐列讀取「薪資總表」，套版產生 </t>
    </r>
    <r>
      <rPr>
        <sz val="10"/>
        <rFont val="Microsoft JhengHei"/>
        <family val="0"/>
        <charset val="1"/>
      </rPr>
      <t xml:space="preserve">PDF </t>
    </r>
    <r>
      <rPr>
        <sz val="10"/>
        <rFont val="Noto Sans CJK SC"/>
        <family val="2"/>
      </rPr>
      <t xml:space="preserve">後由 </t>
    </r>
    <r>
      <rPr>
        <sz val="10"/>
        <rFont val="Microsoft JhengHei"/>
        <family val="0"/>
        <charset val="1"/>
      </rPr>
      <t xml:space="preserve">Outlook </t>
    </r>
    <r>
      <rPr>
        <sz val="10"/>
        <rFont val="Noto Sans CJK SC"/>
        <family val="2"/>
      </rPr>
      <t xml:space="preserve">寄送各員工；或以 </t>
    </r>
    <r>
      <rPr>
        <sz val="10"/>
        <rFont val="Microsoft JhengHei"/>
        <family val="0"/>
        <charset val="1"/>
      </rPr>
      <t xml:space="preserve">Word </t>
    </r>
    <r>
      <rPr>
        <sz val="10"/>
        <rFont val="Noto Sans CJK SC"/>
        <family val="2"/>
      </rPr>
      <t xml:space="preserve">合併列印連結本檔。</t>
    </r>
  </si>
  <si>
    <t xml:space="preserve">免責聲明</t>
  </si>
  <si>
    <t xml:space="preserve">本工具僅供計薪輔助試算。實際保費以勞保局、健保署計費通知為準；職災費率以勞保局核定之行業別費率為準；所得稅扣繳請依當年度財政部「薪資所得扣繳稅額表」辦理。</t>
  </si>
  <si>
    <t xml:space="preserve">欄位填寫指南 — 手動填寫 vs 自動計算</t>
  </si>
  <si>
    <t xml:space="preserve">人事只需維護「橘色標題」欄位；「深藍標題」欄位由公式自動計算，請勿改動。儲存格內藍字＝輸入值、黑字＝公式。</t>
  </si>
  <si>
    <t xml:space="preserve">　橘色標題＝人事手動填寫</t>
  </si>
  <si>
    <t xml:space="preserve">　深藍標題＝公式自動計算（請勿改動）</t>
  </si>
  <si>
    <t xml:space="preserve">一、員工清單（主檔）— 新進、異動時維護</t>
  </si>
  <si>
    <t xml:space="preserve">欄位</t>
  </si>
  <si>
    <t xml:space="preserve">欄位名稱</t>
  </si>
  <si>
    <t xml:space="preserve">性質</t>
  </si>
  <si>
    <t xml:space="preserve">填寫時機與說明</t>
  </si>
  <si>
    <t xml:space="preserve">A</t>
  </si>
  <si>
    <t xml:space="preserve">員工編號</t>
  </si>
  <si>
    <t xml:space="preserve">手動</t>
  </si>
  <si>
    <r>
      <rPr>
        <sz val="10"/>
        <rFont val="Noto Sans CJK SC"/>
        <family val="2"/>
      </rPr>
      <t xml:space="preserve">新進建檔時填寫，請勿重複（建議 </t>
    </r>
    <r>
      <rPr>
        <sz val="10"/>
        <rFont val="Microsoft JhengHei"/>
        <family val="0"/>
        <charset val="1"/>
      </rPr>
      <t xml:space="preserve">E001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E002…</t>
    </r>
    <r>
      <rPr>
        <sz val="10"/>
        <rFont val="Noto Sans CJK SC"/>
        <family val="2"/>
      </rPr>
      <t xml:space="preserve">）；全簿各表皆以此欄串接。</t>
    </r>
  </si>
  <si>
    <t xml:space="preserve">B</t>
  </si>
  <si>
    <t xml:space="preserve">姓名</t>
  </si>
  <si>
    <t xml:space="preserve">新進建檔時填寫。</t>
  </si>
  <si>
    <t xml:space="preserve">C</t>
  </si>
  <si>
    <t xml:space="preserve">部門</t>
  </si>
  <si>
    <t xml:space="preserve">新進建檔；組織異動時更新（「部門成本彙總」依此欄分類）。</t>
  </si>
  <si>
    <t xml:space="preserve">D</t>
  </si>
  <si>
    <t xml:space="preserve">職稱</t>
  </si>
  <si>
    <t xml:space="preserve">新進建檔；升遷異動時更新。</t>
  </si>
  <si>
    <t xml:space="preserve">E</t>
  </si>
  <si>
    <t xml:space="preserve">到職日</t>
  </si>
  <si>
    <r>
      <rPr>
        <sz val="10"/>
        <rFont val="Noto Sans CJK SC"/>
        <family val="2"/>
      </rPr>
      <t xml:space="preserve">新進建檔（日期格式，如 </t>
    </r>
    <r>
      <rPr>
        <sz val="10"/>
        <rFont val="Microsoft JhengHei"/>
        <family val="0"/>
        <charset val="1"/>
      </rPr>
      <t xml:space="preserve">2026/3/1</t>
    </r>
    <r>
      <rPr>
        <sz val="10"/>
        <rFont val="Noto Sans CJK SC"/>
        <family val="2"/>
      </rPr>
      <t xml:space="preserve">）；年資、特休皆由此起算。</t>
    </r>
  </si>
  <si>
    <t xml:space="preserve">F</t>
  </si>
  <si>
    <r>
      <rPr>
        <sz val="10"/>
        <rFont val="Noto Sans CJK SC"/>
        <family val="2"/>
      </rPr>
      <t xml:space="preserve">年資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月</t>
    </r>
    <r>
      <rPr>
        <sz val="10"/>
        <rFont val="Microsoft JhengHei"/>
        <family val="0"/>
        <charset val="1"/>
      </rPr>
      <t xml:space="preserve">)</t>
    </r>
  </si>
  <si>
    <t xml:space="preserve">自動</t>
  </si>
  <si>
    <r>
      <rPr>
        <sz val="10"/>
        <rFont val="Noto Sans CJK SC"/>
        <family val="2"/>
      </rPr>
      <t xml:space="preserve">依到職日與「參數設定」基準日（</t>
    </r>
    <r>
      <rPr>
        <sz val="10"/>
        <rFont val="Microsoft JhengHei"/>
        <family val="0"/>
        <charset val="1"/>
      </rPr>
      <t xml:space="preserve">C20</t>
    </r>
    <r>
      <rPr>
        <sz val="10"/>
        <rFont val="Noto Sans CJK SC"/>
        <family val="2"/>
      </rPr>
      <t xml:space="preserve">）以 </t>
    </r>
    <r>
      <rPr>
        <sz val="10"/>
        <rFont val="Microsoft JhengHei"/>
        <family val="0"/>
        <charset val="1"/>
      </rPr>
      <t xml:space="preserve">DATEDIF </t>
    </r>
    <r>
      <rPr>
        <sz val="10"/>
        <rFont val="Noto Sans CJK SC"/>
        <family val="2"/>
      </rPr>
      <t xml:space="preserve">計算。</t>
    </r>
  </si>
  <si>
    <t xml:space="preserve">G</t>
  </si>
  <si>
    <t xml:space="preserve">年資</t>
  </si>
  <si>
    <r>
      <rPr>
        <sz val="10"/>
        <rFont val="Noto Sans CJK SC"/>
        <family val="2"/>
      </rPr>
      <t xml:space="preserve">由 </t>
    </r>
    <r>
      <rPr>
        <sz val="10"/>
        <rFont val="Microsoft JhengHei"/>
        <family val="0"/>
        <charset val="1"/>
      </rPr>
      <t xml:space="preserve">F </t>
    </r>
    <r>
      <rPr>
        <sz val="10"/>
        <rFont val="Noto Sans CJK SC"/>
        <family val="2"/>
      </rPr>
      <t xml:space="preserve">欄換算為「○年○月」顯示。</t>
    </r>
  </si>
  <si>
    <t xml:space="preserve">H</t>
  </si>
  <si>
    <r>
      <rPr>
        <sz val="10"/>
        <rFont val="Noto Sans CJK SC"/>
        <family val="2"/>
      </rPr>
      <t xml:space="preserve">本年特休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日</t>
    </r>
    <r>
      <rPr>
        <sz val="10"/>
        <rFont val="Microsoft JhengHei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</si>
  <si>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依年資查「參數設定」特休對照表（勞基法第</t>
    </r>
    <r>
      <rPr>
        <sz val="10"/>
        <rFont val="Microsoft JhengHei"/>
        <family val="0"/>
        <charset val="1"/>
      </rPr>
      <t xml:space="preserve">38</t>
    </r>
    <r>
      <rPr>
        <sz val="10"/>
        <rFont val="Noto Sans CJK SC"/>
        <family val="2"/>
      </rPr>
      <t xml:space="preserve">條）。</t>
    </r>
  </si>
  <si>
    <t xml:space="preserve">I</t>
  </si>
  <si>
    <t xml:space="preserve">月薪資總額</t>
  </si>
  <si>
    <r>
      <rPr>
        <sz val="10"/>
        <rFont val="Noto Sans CJK SC"/>
        <family val="2"/>
      </rPr>
      <t xml:space="preserve">由「薪資結構」表 </t>
    </r>
    <r>
      <rPr>
        <sz val="10"/>
        <rFont val="Microsoft JhengHei"/>
        <family val="0"/>
        <charset val="1"/>
      </rPr>
      <t xml:space="preserve">K </t>
    </r>
    <r>
      <rPr>
        <sz val="10"/>
        <rFont val="Noto Sans CJK SC"/>
        <family val="2"/>
      </rPr>
      <t xml:space="preserve">欄（工資項目合計）自動帶入；調薪請至薪資結構修改。</t>
    </r>
  </si>
  <si>
    <t xml:space="preserve">J</t>
  </si>
  <si>
    <t xml:space="preserve">勞保投保薪資</t>
  </si>
  <si>
    <r>
      <rPr>
        <sz val="10"/>
        <rFont val="Noto Sans CJK SC"/>
        <family val="2"/>
      </rPr>
      <t xml:space="preserve">依 </t>
    </r>
    <r>
      <rPr>
        <sz val="10"/>
        <rFont val="Microsoft JhengHei"/>
        <family val="0"/>
        <charset val="1"/>
      </rPr>
      <t xml:space="preserve">I </t>
    </r>
    <r>
      <rPr>
        <sz val="10"/>
        <rFont val="Noto Sans CJK SC"/>
        <family val="2"/>
      </rPr>
      <t xml:space="preserve">欄查勞保級距表（</t>
    </r>
    <r>
      <rPr>
        <sz val="10"/>
        <rFont val="Microsoft JhengHei"/>
        <family val="0"/>
        <charset val="1"/>
      </rPr>
      <t xml:space="preserve">115</t>
    </r>
    <r>
      <rPr>
        <sz val="10"/>
        <rFont val="Noto Sans CJK SC"/>
        <family val="2"/>
      </rPr>
      <t xml:space="preserve">年上限 </t>
    </r>
    <r>
      <rPr>
        <sz val="10"/>
        <rFont val="Microsoft JhengHei"/>
        <family val="0"/>
        <charset val="1"/>
      </rPr>
      <t xml:space="preserve">45,800</t>
    </r>
    <r>
      <rPr>
        <sz val="10"/>
        <rFont val="Noto Sans CJK SC"/>
        <family val="2"/>
      </rPr>
      <t xml:space="preserve">）。</t>
    </r>
  </si>
  <si>
    <t xml:space="preserve">K</t>
  </si>
  <si>
    <t xml:space="preserve">職保投保薪資</t>
  </si>
  <si>
    <r>
      <rPr>
        <sz val="10"/>
        <rFont val="Noto Sans CJK SC"/>
        <family val="2"/>
      </rPr>
      <t xml:space="preserve">依 </t>
    </r>
    <r>
      <rPr>
        <sz val="10"/>
        <rFont val="Microsoft JhengHei"/>
        <family val="0"/>
        <charset val="1"/>
      </rPr>
      <t xml:space="preserve">I </t>
    </r>
    <r>
      <rPr>
        <sz val="10"/>
        <rFont val="Noto Sans CJK SC"/>
        <family val="2"/>
      </rPr>
      <t xml:space="preserve">欄查職保級距表（上限 </t>
    </r>
    <r>
      <rPr>
        <sz val="10"/>
        <rFont val="Microsoft JhengHei"/>
        <family val="0"/>
        <charset val="1"/>
      </rPr>
      <t xml:space="preserve">72,800</t>
    </r>
    <r>
      <rPr>
        <sz val="10"/>
        <rFont val="Noto Sans CJK SC"/>
        <family val="2"/>
      </rPr>
      <t xml:space="preserve">）。</t>
    </r>
  </si>
  <si>
    <t xml:space="preserve">L</t>
  </si>
  <si>
    <t xml:space="preserve">健保投保金額</t>
  </si>
  <si>
    <r>
      <rPr>
        <sz val="10"/>
        <rFont val="Noto Sans CJK SC"/>
        <family val="2"/>
      </rPr>
      <t xml:space="preserve">依 </t>
    </r>
    <r>
      <rPr>
        <sz val="10"/>
        <rFont val="Microsoft JhengHei"/>
        <family val="0"/>
        <charset val="1"/>
      </rPr>
      <t xml:space="preserve">I </t>
    </r>
    <r>
      <rPr>
        <sz val="10"/>
        <rFont val="Noto Sans CJK SC"/>
        <family val="2"/>
      </rPr>
      <t xml:space="preserve">欄查健保級距表（上限 </t>
    </r>
    <r>
      <rPr>
        <sz val="10"/>
        <rFont val="Microsoft JhengHei"/>
        <family val="0"/>
        <charset val="1"/>
      </rPr>
      <t xml:space="preserve">313,000</t>
    </r>
    <r>
      <rPr>
        <sz val="10"/>
        <rFont val="Noto Sans CJK SC"/>
        <family val="2"/>
      </rPr>
      <t xml:space="preserve">）。</t>
    </r>
  </si>
  <si>
    <t xml:space="preserve">M</t>
  </si>
  <si>
    <t xml:space="preserve">勞退月提繳工資</t>
  </si>
  <si>
    <r>
      <rPr>
        <sz val="10"/>
        <rFont val="Noto Sans CJK SC"/>
        <family val="2"/>
      </rPr>
      <t xml:space="preserve">依 </t>
    </r>
    <r>
      <rPr>
        <sz val="10"/>
        <rFont val="Microsoft JhengHei"/>
        <family val="0"/>
        <charset val="1"/>
      </rPr>
      <t xml:space="preserve">I </t>
    </r>
    <r>
      <rPr>
        <sz val="10"/>
        <rFont val="Noto Sans CJK SC"/>
        <family val="2"/>
      </rPr>
      <t xml:space="preserve">欄查勞退月提繳分級表（上限 </t>
    </r>
    <r>
      <rPr>
        <sz val="10"/>
        <rFont val="Microsoft JhengHei"/>
        <family val="0"/>
        <charset val="1"/>
      </rPr>
      <t xml:space="preserve">150,000</t>
    </r>
    <r>
      <rPr>
        <sz val="10"/>
        <rFont val="Noto Sans CJK SC"/>
        <family val="2"/>
      </rPr>
      <t xml:space="preserve">）。</t>
    </r>
  </si>
  <si>
    <t xml:space="preserve">N</t>
  </si>
  <si>
    <t xml:space="preserve">健保眷屬數</t>
  </si>
  <si>
    <t xml:space="preserve">由「眷屬名冊」統計依附健保＝「是」之人數；維護眷屬請至名冊操作。</t>
  </si>
  <si>
    <t xml:space="preserve">O</t>
  </si>
  <si>
    <t xml:space="preserve">計費眷口數</t>
  </si>
  <si>
    <r>
      <rPr>
        <sz val="10"/>
        <rFont val="Noto Sans CJK SC"/>
        <family val="2"/>
      </rPr>
      <t xml:space="preserve">取 </t>
    </r>
    <r>
      <rPr>
        <sz val="10"/>
        <rFont val="Microsoft JhengHei"/>
        <family val="0"/>
        <charset val="1"/>
      </rPr>
      <t xml:space="preserve">N </t>
    </r>
    <r>
      <rPr>
        <sz val="10"/>
        <rFont val="Noto Sans CJK SC"/>
        <family val="2"/>
      </rPr>
      <t xml:space="preserve">欄與 </t>
    </r>
    <r>
      <rPr>
        <sz val="10"/>
        <rFont val="Microsoft JhengHei"/>
        <family val="0"/>
        <charset val="1"/>
      </rPr>
      <t xml:space="preserve">3 </t>
    </r>
    <r>
      <rPr>
        <sz val="10"/>
        <rFont val="Noto Sans CJK SC"/>
        <family val="2"/>
      </rPr>
      <t xml:space="preserve">之較小值（健保眷屬計費上限 </t>
    </r>
    <r>
      <rPr>
        <sz val="10"/>
        <rFont val="Microsoft JhengHei"/>
        <family val="0"/>
        <charset val="1"/>
      </rPr>
      <t xml:space="preserve">3 </t>
    </r>
    <r>
      <rPr>
        <sz val="10"/>
        <rFont val="Noto Sans CJK SC"/>
        <family val="2"/>
      </rPr>
      <t xml:space="preserve">口）。</t>
    </r>
  </si>
  <si>
    <t xml:space="preserve">P</t>
  </si>
  <si>
    <t xml:space="preserve">勞退自提率</t>
  </si>
  <si>
    <r>
      <rPr>
        <sz val="10"/>
        <rFont val="Noto Sans CJK SC"/>
        <family val="2"/>
      </rPr>
      <t xml:space="preserve">下拉選 </t>
    </r>
    <r>
      <rPr>
        <sz val="10"/>
        <rFont val="Microsoft JhengHei"/>
        <family val="0"/>
        <charset val="1"/>
      </rPr>
      <t xml:space="preserve">0%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6%</t>
    </r>
    <r>
      <rPr>
        <sz val="10"/>
        <rFont val="Noto Sans CJK SC"/>
        <family val="2"/>
      </rPr>
      <t xml:space="preserve">；依員工自提申請書設定或調整（自提額免稅）。</t>
    </r>
  </si>
  <si>
    <t xml:space="preserve">Q</t>
  </si>
  <si>
    <t xml:space="preserve">備註</t>
  </si>
  <si>
    <t xml:space="preserve">選填（外籍身分、留職停薪、離職註記等）。</t>
  </si>
  <si>
    <t xml:space="preserve">R</t>
  </si>
  <si>
    <t xml:space="preserve">成本中心</t>
  </si>
  <si>
    <t xml:space="preserve">供「部門成本彙總」使用；無成本中心制度者可留空。</t>
  </si>
  <si>
    <t xml:space="preserve">S</t>
  </si>
  <si>
    <t xml:space="preserve">專案別</t>
  </si>
  <si>
    <t xml:space="preserve">供專案別人事成本彙總；可留空。</t>
  </si>
  <si>
    <t xml:space="preserve">T</t>
  </si>
  <si>
    <t xml:space="preserve">稅務身分</t>
  </si>
  <si>
    <r>
      <rPr>
        <sz val="10"/>
        <rFont val="Noto Sans CJK SC"/>
        <family val="2"/>
      </rPr>
      <t xml:space="preserve">下拉：居住者／非居住者（課稅年度在台滿</t>
    </r>
    <r>
      <rPr>
        <sz val="10"/>
        <rFont val="Microsoft JhengHei"/>
        <family val="0"/>
        <charset val="1"/>
      </rPr>
      <t xml:space="preserve">183</t>
    </r>
    <r>
      <rPr>
        <sz val="10"/>
        <rFont val="Noto Sans CJK SC"/>
        <family val="2"/>
      </rPr>
      <t xml:space="preserve">天為居住者）；留空視同居住者。</t>
    </r>
  </si>
  <si>
    <t xml:space="preserve">U</t>
  </si>
  <si>
    <t xml:space="preserve">扣繳方式</t>
  </si>
  <si>
    <r>
      <rPr>
        <sz val="10"/>
        <rFont val="Noto Sans CJK SC"/>
        <family val="2"/>
      </rPr>
      <t xml:space="preserve">下拉：依扣繳稅額表／固定</t>
    </r>
    <r>
      <rPr>
        <sz val="10"/>
        <rFont val="Microsoft JhengHei"/>
        <family val="0"/>
        <charset val="1"/>
      </rPr>
      <t xml:space="preserve">5%</t>
    </r>
    <r>
      <rPr>
        <sz val="10"/>
        <rFont val="Noto Sans CJK SC"/>
        <family val="2"/>
      </rPr>
      <t xml:space="preserve">（員工於免稅額申報表勾選）；未填表者依法按固定</t>
    </r>
    <r>
      <rPr>
        <sz val="10"/>
        <rFont val="Microsoft JhengHei"/>
        <family val="0"/>
        <charset val="1"/>
      </rPr>
      <t xml:space="preserve">5%</t>
    </r>
    <r>
      <rPr>
        <sz val="10"/>
        <rFont val="Noto Sans CJK SC"/>
        <family val="2"/>
      </rPr>
      <t xml:space="preserve">。</t>
    </r>
  </si>
  <si>
    <t xml:space="preserve">V</t>
  </si>
  <si>
    <r>
      <rPr>
        <sz val="10"/>
        <rFont val="Noto Sans CJK SC"/>
        <family val="2"/>
      </rPr>
      <t xml:space="preserve">配偶</t>
    </r>
    <r>
      <rPr>
        <sz val="10"/>
        <rFont val="Microsoft JhengHei"/>
        <family val="0"/>
        <charset val="1"/>
      </rPr>
      <t xml:space="preserve">+</t>
    </r>
    <r>
      <rPr>
        <sz val="10"/>
        <rFont val="Noto Sans CJK SC"/>
        <family val="2"/>
      </rPr>
      <t xml:space="preserve">扶養親屬數</t>
    </r>
  </si>
  <si>
    <r>
      <rPr>
        <sz val="10"/>
        <rFont val="Noto Sans CJK SC"/>
        <family val="2"/>
      </rPr>
      <t xml:space="preserve">由「眷屬名冊」統計報稅扶養＝「是」之人數，影響查表起扣點（</t>
    </r>
    <r>
      <rPr>
        <sz val="10"/>
        <rFont val="Microsoft JhengHei"/>
        <family val="0"/>
        <charset val="1"/>
      </rPr>
      <t xml:space="preserve">90,501</t>
    </r>
    <r>
      <rPr>
        <sz val="10"/>
        <rFont val="Noto Sans CJK SC"/>
        <family val="2"/>
      </rPr>
      <t xml:space="preserve">＋每人</t>
    </r>
    <r>
      <rPr>
        <sz val="10"/>
        <rFont val="Microsoft JhengHei"/>
        <family val="0"/>
        <charset val="1"/>
      </rPr>
      <t xml:space="preserve">8,417</t>
    </r>
    <r>
      <rPr>
        <sz val="10"/>
        <rFont val="Noto Sans CJK SC"/>
        <family val="2"/>
      </rPr>
      <t xml:space="preserve">）。</t>
    </r>
  </si>
  <si>
    <t xml:space="preserve">W</t>
  </si>
  <si>
    <t xml:space="preserve">免稅額申報表收件日</t>
  </si>
  <si>
    <r>
      <rPr>
        <sz val="10"/>
        <rFont val="Noto Sans CJK SC"/>
        <family val="2"/>
      </rPr>
      <t xml:space="preserve">收到「員工薪資所得受領人免稅額申報表」之日期；到職時及每年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月收件，員工異動後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日內更新。</t>
    </r>
  </si>
  <si>
    <t xml:space="preserve">二、眷屬名冊 — 眷屬異動隨時維護（每名眷屬一列）</t>
  </si>
  <si>
    <t xml:space="preserve">下拉選擇所屬員工；一名員工可登錄多列眷屬（一對多），順序不拘。</t>
  </si>
  <si>
    <t xml:space="preserve">員工姓名</t>
  </si>
  <si>
    <t xml:space="preserve">依員編帶出；顯示「⚠查無此員編」（整列紅底）表示員編打錯或該員工已離職清空。</t>
  </si>
  <si>
    <t xml:space="preserve">眷屬姓名</t>
  </si>
  <si>
    <t xml:space="preserve">新增眷屬時填寫。</t>
  </si>
  <si>
    <t xml:space="preserve">關係</t>
  </si>
  <si>
    <t xml:space="preserve">下拉：配偶／子女／父母／祖父母／兄弟姊妹／其他。</t>
  </si>
  <si>
    <t xml:space="preserve">出生年月日</t>
  </si>
  <si>
    <t xml:space="preserve">免稅額申報表必填項目；健保眷屬投保亦需。</t>
  </si>
  <si>
    <t xml:space="preserve">身分證字號</t>
  </si>
  <si>
    <t xml:space="preserve">免稅額申報表必填；屬個人資料，請控管檔案權限，亦可留空另冊保管。</t>
  </si>
  <si>
    <t xml:space="preserve">依附健保</t>
  </si>
  <si>
    <r>
      <rPr>
        <sz val="10"/>
        <rFont val="Noto Sans CJK SC"/>
        <family val="2"/>
      </rPr>
      <t xml:space="preserve">「是」＝該眷屬依附本員工投保健保 → 自動計入員工清單 </t>
    </r>
    <r>
      <rPr>
        <sz val="10"/>
        <rFont val="Microsoft JhengHei"/>
        <family val="0"/>
        <charset val="1"/>
      </rPr>
      <t xml:space="preserve">N </t>
    </r>
    <r>
      <rPr>
        <sz val="10"/>
        <rFont val="Noto Sans CJK SC"/>
        <family val="2"/>
      </rPr>
      <t xml:space="preserve">欄（健保自付額，計費上限</t>
    </r>
    <r>
      <rPr>
        <sz val="10"/>
        <rFont val="Microsoft JhengHei"/>
        <family val="0"/>
        <charset val="1"/>
      </rPr>
      <t xml:space="preserve">3</t>
    </r>
    <r>
      <rPr>
        <sz val="10"/>
        <rFont val="Noto Sans CJK SC"/>
        <family val="2"/>
      </rPr>
      <t xml:space="preserve">口）。</t>
    </r>
  </si>
  <si>
    <t xml:space="preserve">報稅扶養</t>
  </si>
  <si>
    <r>
      <rPr>
        <sz val="10"/>
        <rFont val="Noto Sans CJK SC"/>
        <family val="2"/>
      </rPr>
      <t xml:space="preserve">「是」＝列入免稅額申報表之配偶或受扶養親屬 → 自動計入員工清單 </t>
    </r>
    <r>
      <rPr>
        <sz val="10"/>
        <rFont val="Microsoft JhengHei"/>
        <family val="0"/>
        <charset val="1"/>
      </rPr>
      <t xml:space="preserve">V </t>
    </r>
    <r>
      <rPr>
        <sz val="10"/>
        <rFont val="Noto Sans CJK SC"/>
        <family val="2"/>
      </rPr>
      <t xml:space="preserve">欄（墊高查表起扣點）。</t>
    </r>
  </si>
  <si>
    <r>
      <rPr>
        <sz val="10"/>
        <rFont val="Noto Sans CJK SC"/>
        <family val="2"/>
      </rPr>
      <t xml:space="preserve">選填（如：眷屬於配偶單位投保、年滿</t>
    </r>
    <r>
      <rPr>
        <sz val="10"/>
        <rFont val="Microsoft JhengHei"/>
        <family val="0"/>
        <charset val="1"/>
      </rPr>
      <t xml:space="preserve">20</t>
    </r>
    <r>
      <rPr>
        <sz val="10"/>
        <rFont val="Noto Sans CJK SC"/>
        <family val="2"/>
      </rPr>
      <t xml:space="preserve">歲在學證明等）。</t>
    </r>
  </si>
  <si>
    <t xml:space="preserve">三、薪資結構 — 核薪、調薪時維護（每員工一列）</t>
  </si>
  <si>
    <t xml:space="preserve">本薪</t>
  </si>
  <si>
    <r>
      <rPr>
        <sz val="10"/>
        <rFont val="Noto Sans CJK SC"/>
        <family val="2"/>
      </rPr>
      <t xml:space="preserve">基本底薪；屬工資、應稅。調薪於此修改，</t>
    </r>
    <r>
      <rPr>
        <sz val="10"/>
        <rFont val="Microsoft JhengHei"/>
        <family val="0"/>
        <charset val="1"/>
      </rPr>
      <t xml:space="preserve">I </t>
    </r>
    <r>
      <rPr>
        <sz val="10"/>
        <rFont val="Noto Sans CJK SC"/>
        <family val="2"/>
      </rPr>
      <t xml:space="preserve">欄與投保級距自動連動。</t>
    </r>
  </si>
  <si>
    <t xml:space="preserve">主管加給</t>
  </si>
  <si>
    <t xml:space="preserve">擔任主管職務之經常性加給；屬工資、應稅。</t>
  </si>
  <si>
    <t xml:space="preserve">職務加給</t>
  </si>
  <si>
    <t xml:space="preserve">特定職務之經常性加給；屬工資、應稅。</t>
  </si>
  <si>
    <r>
      <rPr>
        <sz val="10"/>
        <rFont val="Noto Sans CJK SC"/>
        <family val="2"/>
      </rPr>
      <t xml:space="preserve">專業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技術加給</t>
    </r>
  </si>
  <si>
    <t xml:space="preserve">證照、語言、技術等經常性加給；屬工資、應稅。</t>
  </si>
  <si>
    <t xml:space="preserve">伙食津貼</t>
  </si>
  <si>
    <r>
      <rPr>
        <sz val="10"/>
        <rFont val="Noto Sans CJK SC"/>
        <family val="2"/>
      </rPr>
      <t xml:space="preserve">每月 </t>
    </r>
    <r>
      <rPr>
        <sz val="10"/>
        <rFont val="Microsoft JhengHei"/>
        <family val="0"/>
        <charset val="1"/>
      </rPr>
      <t xml:space="preserve">3,000 </t>
    </r>
    <r>
      <rPr>
        <sz val="10"/>
        <rFont val="Noto Sans CJK SC"/>
        <family val="2"/>
      </rPr>
      <t xml:space="preserve">內免稅（參數設定 </t>
    </r>
    <r>
      <rPr>
        <sz val="10"/>
        <rFont val="Microsoft JhengHei"/>
        <family val="0"/>
        <charset val="1"/>
      </rPr>
      <t xml:space="preserve">C28</t>
    </r>
    <r>
      <rPr>
        <sz val="10"/>
        <rFont val="Noto Sans CJK SC"/>
        <family val="2"/>
      </rPr>
      <t xml:space="preserve">），仍屬工資、計入投保級距；超過部分應稅。</t>
    </r>
  </si>
  <si>
    <t xml:space="preserve">交通津貼</t>
  </si>
  <si>
    <r>
      <rPr>
        <sz val="10"/>
        <rFont val="Noto Sans CJK SC"/>
        <family val="2"/>
      </rPr>
      <t xml:space="preserve">固定按月發給者屬工資、應稅；實報實銷之代墊性質勿列此欄（改於總表 </t>
    </r>
    <r>
      <rPr>
        <sz val="10"/>
        <rFont val="Microsoft JhengHei"/>
        <family val="0"/>
        <charset val="1"/>
      </rPr>
      <t xml:space="preserve">K </t>
    </r>
    <r>
      <rPr>
        <sz val="10"/>
        <rFont val="Noto Sans CJK SC"/>
        <family val="2"/>
      </rPr>
      <t xml:space="preserve">欄處理）。</t>
    </r>
  </si>
  <si>
    <t xml:space="preserve">全勤獎金</t>
  </si>
  <si>
    <r>
      <rPr>
        <sz val="10"/>
        <rFont val="Noto Sans CJK SC"/>
        <family val="2"/>
      </rPr>
      <t xml:space="preserve">經常性給與屬工資、應稅；當月不符全勤者於薪資總表 </t>
    </r>
    <r>
      <rPr>
        <sz val="10"/>
        <rFont val="Microsoft JhengHei"/>
        <family val="0"/>
        <charset val="1"/>
      </rPr>
      <t xml:space="preserve">W </t>
    </r>
    <r>
      <rPr>
        <sz val="10"/>
        <rFont val="Noto Sans CJK SC"/>
        <family val="2"/>
      </rPr>
      <t xml:space="preserve">欄扣回並備註。</t>
    </r>
  </si>
  <si>
    <t xml:space="preserve">其他固定津貼</t>
  </si>
  <si>
    <t xml:space="preserve">其他按月固定發給之經常性給與（如輪班津貼定額）。</t>
  </si>
  <si>
    <r>
      <rPr>
        <sz val="10"/>
        <rFont val="Noto Sans CJK SC"/>
        <family val="2"/>
      </rPr>
      <t xml:space="preserve">＝</t>
    </r>
    <r>
      <rPr>
        <sz val="10"/>
        <rFont val="Microsoft JhengHei"/>
        <family val="0"/>
        <charset val="1"/>
      </rPr>
      <t xml:space="preserve">C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J </t>
    </r>
    <r>
      <rPr>
        <sz val="10"/>
        <rFont val="Noto Sans CJK SC"/>
        <family val="2"/>
      </rPr>
      <t xml:space="preserve">合計；即投保級距、加班費、平均工資之計算基礎，回寫員工清單 </t>
    </r>
    <r>
      <rPr>
        <sz val="10"/>
        <rFont val="Microsoft JhengHei"/>
        <family val="0"/>
        <charset val="1"/>
      </rPr>
      <t xml:space="preserve">I </t>
    </r>
    <r>
      <rPr>
        <sz val="10"/>
        <rFont val="Noto Sans CJK SC"/>
        <family val="2"/>
      </rPr>
      <t xml:space="preserve">欄。</t>
    </r>
  </si>
  <si>
    <t xml:space="preserve">最低工資檢核</t>
  </si>
  <si>
    <r>
      <rPr>
        <sz val="10"/>
        <rFont val="Noto Sans CJK SC"/>
        <family val="2"/>
      </rPr>
      <t xml:space="preserve">合計低於最低工資（參數設定 </t>
    </r>
    <r>
      <rPr>
        <sz val="10"/>
        <rFont val="Microsoft JhengHei"/>
        <family val="0"/>
        <charset val="1"/>
      </rPr>
      <t xml:space="preserve">C4</t>
    </r>
    <r>
      <rPr>
        <sz val="10"/>
        <rFont val="Noto Sans CJK SC"/>
        <family val="2"/>
      </rPr>
      <t xml:space="preserve">，</t>
    </r>
    <r>
      <rPr>
        <sz val="10"/>
        <rFont val="Microsoft JhengHei"/>
        <family val="0"/>
        <charset val="1"/>
      </rPr>
      <t xml:space="preserve">115</t>
    </r>
    <r>
      <rPr>
        <sz val="10"/>
        <rFont val="Noto Sans CJK SC"/>
        <family val="2"/>
      </rPr>
      <t xml:space="preserve">年 </t>
    </r>
    <r>
      <rPr>
        <sz val="10"/>
        <rFont val="Microsoft JhengHei"/>
        <family val="0"/>
        <charset val="1"/>
      </rPr>
      <t xml:space="preserve">29,500</t>
    </r>
    <r>
      <rPr>
        <sz val="10"/>
        <rFont val="Noto Sans CJK SC"/>
        <family val="2"/>
      </rPr>
      <t xml:space="preserve">）顯示 ⚠ 並整列紅底（勞基法</t>
    </r>
    <r>
      <rPr>
        <sz val="10"/>
        <rFont val="Microsoft JhengHei"/>
        <family val="0"/>
        <charset val="1"/>
      </rPr>
      <t xml:space="preserve">§21</t>
    </r>
    <r>
      <rPr>
        <sz val="10"/>
        <rFont val="Noto Sans CJK SC"/>
        <family val="2"/>
      </rPr>
      <t xml:space="preserve">、最低工資法）。</t>
    </r>
  </si>
  <si>
    <t xml:space="preserve">四、薪資總表 — 每月結薪時維護（先選 B1 發薪年月）</t>
  </si>
  <si>
    <t xml:space="preserve">B1</t>
  </si>
  <si>
    <t xml:space="preserve">發薪年月</t>
  </si>
  <si>
    <t xml:space="preserve">手動｜每月</t>
  </si>
  <si>
    <r>
      <rPr>
        <sz val="10"/>
        <rFont val="Noto Sans CJK SC"/>
        <family val="2"/>
      </rPr>
      <t xml:space="preserve">每月結薪時更新（如 </t>
    </r>
    <r>
      <rPr>
        <sz val="10"/>
        <rFont val="Microsoft JhengHei"/>
        <family val="0"/>
        <charset val="1"/>
      </rPr>
      <t xml:space="preserve">115</t>
    </r>
    <r>
      <rPr>
        <sz val="10"/>
        <rFont val="Noto Sans CJK SC"/>
        <family val="2"/>
      </rPr>
      <t xml:space="preserve">年</t>
    </r>
    <r>
      <rPr>
        <sz val="10"/>
        <rFont val="Microsoft JhengHei"/>
        <family val="0"/>
        <charset val="1"/>
      </rPr>
      <t xml:space="preserve">02</t>
    </r>
    <r>
      <rPr>
        <sz val="10"/>
        <rFont val="Noto Sans CJK SC"/>
        <family val="2"/>
      </rPr>
      <t xml:space="preserve">月），同步顯示於薪資條與部門成本彙總。</t>
    </r>
  </si>
  <si>
    <t xml:space="preserve">A–D</t>
  </si>
  <si>
    <r>
      <rPr>
        <sz val="10"/>
        <rFont val="Noto Sans CJK SC"/>
        <family val="2"/>
      </rPr>
      <t xml:space="preserve">員編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姓名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部門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月薪</t>
    </r>
  </si>
  <si>
    <t xml:space="preserve">由員工清單帶入（月薪資總額源自薪資結構）。</t>
  </si>
  <si>
    <r>
      <rPr>
        <sz val="10"/>
        <rFont val="Noto Sans CJK SC"/>
        <family val="2"/>
      </rPr>
      <t xml:space="preserve">平日加班時數</t>
    </r>
    <r>
      <rPr>
        <sz val="10"/>
        <rFont val="Microsoft JhengHei"/>
        <family val="0"/>
        <charset val="1"/>
      </rPr>
      <t xml:space="preserve">(×1.34)</t>
    </r>
  </si>
  <si>
    <r>
      <rPr>
        <sz val="10"/>
        <rFont val="Noto Sans CJK SC"/>
        <family val="2"/>
      </rPr>
      <t xml:space="preserve">平日延長工時「前 </t>
    </r>
    <r>
      <rPr>
        <sz val="10"/>
        <rFont val="Microsoft JhengHei"/>
        <family val="0"/>
        <charset val="1"/>
      </rPr>
      <t xml:space="preserve">2 </t>
    </r>
    <r>
      <rPr>
        <sz val="10"/>
        <rFont val="Noto Sans CJK SC"/>
        <family val="2"/>
      </rPr>
      <t xml:space="preserve">小時」當月合計時數（勞基法</t>
    </r>
    <r>
      <rPr>
        <sz val="10"/>
        <rFont val="Microsoft JhengHei"/>
        <family val="0"/>
        <charset val="1"/>
      </rPr>
      <t xml:space="preserve">§24Ⅰ①</t>
    </r>
    <r>
      <rPr>
        <sz val="10"/>
        <rFont val="Noto Sans CJK SC"/>
        <family val="2"/>
      </rPr>
      <t xml:space="preserve">，</t>
    </r>
    <r>
      <rPr>
        <sz val="10"/>
        <rFont val="Microsoft JhengHei"/>
        <family val="0"/>
        <charset val="1"/>
      </rPr>
      <t xml:space="preserve">4/3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</si>
  <si>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平日加班時數</t>
    </r>
    <r>
      <rPr>
        <sz val="10"/>
        <rFont val="Microsoft JhengHei"/>
        <family val="0"/>
        <charset val="1"/>
      </rPr>
      <t xml:space="preserve">(×1.67)</t>
    </r>
  </si>
  <si>
    <r>
      <rPr>
        <sz val="10"/>
        <rFont val="Noto Sans CJK SC"/>
        <family val="2"/>
      </rPr>
      <t xml:space="preserve">平日延長工時「第 </t>
    </r>
    <r>
      <rPr>
        <sz val="10"/>
        <rFont val="Microsoft JhengHei"/>
        <family val="0"/>
        <charset val="1"/>
      </rPr>
      <t xml:space="preserve">3</t>
    </r>
    <r>
      <rPr>
        <sz val="10"/>
        <rFont val="Noto Sans CJK SC"/>
        <family val="2"/>
      </rPr>
      <t xml:space="preserve">～</t>
    </r>
    <r>
      <rPr>
        <sz val="10"/>
        <rFont val="Microsoft JhengHei"/>
        <family val="0"/>
        <charset val="1"/>
      </rPr>
      <t xml:space="preserve">4 </t>
    </r>
    <r>
      <rPr>
        <sz val="10"/>
        <rFont val="Noto Sans CJK SC"/>
        <family val="2"/>
      </rPr>
      <t xml:space="preserve">小時」當月合計時數（</t>
    </r>
    <r>
      <rPr>
        <sz val="10"/>
        <rFont val="Microsoft JhengHei"/>
        <family val="0"/>
        <charset val="1"/>
      </rPr>
      <t xml:space="preserve">§24Ⅰ②</t>
    </r>
    <r>
      <rPr>
        <sz val="10"/>
        <rFont val="Noto Sans CJK SC"/>
        <family val="2"/>
      </rPr>
      <t xml:space="preserve">，</t>
    </r>
    <r>
      <rPr>
        <sz val="10"/>
        <rFont val="Microsoft JhengHei"/>
        <family val="0"/>
        <charset val="1"/>
      </rPr>
      <t xml:space="preserve">5/3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</si>
  <si>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休息日加班</t>
    </r>
    <r>
      <rPr>
        <sz val="10"/>
        <rFont val="Microsoft JhengHei"/>
        <family val="0"/>
        <charset val="1"/>
      </rPr>
      <t xml:space="preserve">(×1.34)</t>
    </r>
  </si>
  <si>
    <r>
      <rPr>
        <sz val="10"/>
        <rFont val="Noto Sans CJK SC"/>
        <family val="2"/>
      </rPr>
      <t xml:space="preserve">休息日出勤前 </t>
    </r>
    <r>
      <rPr>
        <sz val="10"/>
        <rFont val="Microsoft JhengHei"/>
        <family val="0"/>
        <charset val="1"/>
      </rPr>
      <t xml:space="preserve">2 </t>
    </r>
    <r>
      <rPr>
        <sz val="10"/>
        <rFont val="Noto Sans CJK SC"/>
        <family val="2"/>
      </rPr>
      <t xml:space="preserve">小時合計時數（</t>
    </r>
    <r>
      <rPr>
        <sz val="10"/>
        <rFont val="Microsoft JhengHei"/>
        <family val="0"/>
        <charset val="1"/>
      </rPr>
      <t xml:space="preserve">§24Ⅱ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</si>
  <si>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休息日加班</t>
    </r>
    <r>
      <rPr>
        <sz val="10"/>
        <rFont val="Microsoft JhengHei"/>
        <family val="0"/>
        <charset val="1"/>
      </rPr>
      <t xml:space="preserve">(×1.67)</t>
    </r>
  </si>
  <si>
    <r>
      <rPr>
        <sz val="10"/>
        <rFont val="Noto Sans CJK SC"/>
        <family val="2"/>
      </rPr>
      <t xml:space="preserve">休息日出勤第 </t>
    </r>
    <r>
      <rPr>
        <sz val="10"/>
        <rFont val="Microsoft JhengHei"/>
        <family val="0"/>
        <charset val="1"/>
      </rPr>
      <t xml:space="preserve">3 </t>
    </r>
    <r>
      <rPr>
        <sz val="10"/>
        <rFont val="Noto Sans CJK SC"/>
        <family val="2"/>
      </rPr>
      <t xml:space="preserve">小時起合計時數（</t>
    </r>
    <r>
      <rPr>
        <sz val="10"/>
        <rFont val="Microsoft JhengHei"/>
        <family val="0"/>
        <charset val="1"/>
      </rPr>
      <t xml:space="preserve">§24Ⅱ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</si>
  <si>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假日出勤時數</t>
    </r>
    <r>
      <rPr>
        <sz val="10"/>
        <rFont val="Microsoft JhengHei"/>
        <family val="0"/>
        <charset val="1"/>
      </rPr>
      <t xml:space="preserve">(×1)</t>
    </r>
  </si>
  <si>
    <r>
      <rPr>
        <sz val="10"/>
        <rFont val="Noto Sans CJK SC"/>
        <family val="2"/>
      </rPr>
      <t xml:space="preserve">國定假日／特休出勤時數；整日出勤應依函釋加發 </t>
    </r>
    <r>
      <rPr>
        <sz val="10"/>
        <rFont val="Microsoft JhengHei"/>
        <family val="0"/>
        <charset val="1"/>
      </rPr>
      <t xml:space="preserve">1 </t>
    </r>
    <r>
      <rPr>
        <sz val="10"/>
        <rFont val="Noto Sans CJK SC"/>
        <family val="2"/>
      </rPr>
      <t xml:space="preserve">日工資，必要時以 </t>
    </r>
    <r>
      <rPr>
        <sz val="10"/>
        <rFont val="Microsoft JhengHei"/>
        <family val="0"/>
        <charset val="1"/>
      </rPr>
      <t xml:space="preserve">8 </t>
    </r>
    <r>
      <rPr>
        <sz val="10"/>
        <rFont val="Noto Sans CJK SC"/>
        <family val="2"/>
      </rPr>
      <t xml:space="preserve">小時填入。</t>
    </r>
  </si>
  <si>
    <t xml:space="preserve">加班費</t>
  </si>
  <si>
    <r>
      <rPr>
        <sz val="10"/>
        <rFont val="Noto Sans CJK SC"/>
        <family val="2"/>
      </rPr>
      <t xml:space="preserve">月薪</t>
    </r>
    <r>
      <rPr>
        <sz val="10"/>
        <rFont val="Microsoft JhengHei"/>
        <family val="0"/>
        <charset val="1"/>
      </rPr>
      <t xml:space="preserve">÷240×</t>
    </r>
    <r>
      <rPr>
        <sz val="10"/>
        <rFont val="Noto Sans CJK SC"/>
        <family val="2"/>
      </rPr>
      <t xml:space="preserve">時數</t>
    </r>
    <r>
      <rPr>
        <sz val="10"/>
        <rFont val="Microsoft JhengHei"/>
        <family val="0"/>
        <charset val="1"/>
      </rPr>
      <t xml:space="preserve">×</t>
    </r>
    <r>
      <rPr>
        <sz val="10"/>
        <rFont val="Noto Sans CJK SC"/>
        <family val="2"/>
      </rPr>
      <t xml:space="preserve">各段倍率（</t>
    </r>
    <r>
      <rPr>
        <sz val="10"/>
        <rFont val="Microsoft JhengHei"/>
        <family val="0"/>
        <charset val="1"/>
      </rPr>
      <t xml:space="preserve">4/3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5/3</t>
    </r>
    <r>
      <rPr>
        <sz val="10"/>
        <rFont val="Noto Sans CJK SC"/>
        <family val="2"/>
      </rPr>
      <t xml:space="preserve">）加總，四捨五入至元。</t>
    </r>
  </si>
  <si>
    <t xml:space="preserve">其他加項</t>
  </si>
  <si>
    <t xml:space="preserve">補發、實報實銷代墊等；無則留空。</t>
  </si>
  <si>
    <t xml:space="preserve">當月獎金</t>
  </si>
  <si>
    <t xml:space="preserve">年終、三節等非經常性獎金，發放當月填入（可先用「獎金扣繳試算」表試算）。</t>
  </si>
  <si>
    <t xml:space="preserve">應發合計</t>
  </si>
  <si>
    <r>
      <rPr>
        <sz val="10"/>
        <rFont val="Noto Sans CJK SC"/>
        <family val="2"/>
      </rPr>
      <t xml:space="preserve">＝</t>
    </r>
    <r>
      <rPr>
        <sz val="10"/>
        <rFont val="Microsoft JhengHei"/>
        <family val="0"/>
        <charset val="1"/>
      </rPr>
      <t xml:space="preserve">D</t>
    </r>
    <r>
      <rPr>
        <sz val="10"/>
        <rFont val="Noto Sans CJK SC"/>
        <family val="2"/>
      </rPr>
      <t xml:space="preserve">＋</t>
    </r>
    <r>
      <rPr>
        <sz val="10"/>
        <rFont val="Microsoft JhengHei"/>
        <family val="0"/>
        <charset val="1"/>
      </rPr>
      <t xml:space="preserve">J</t>
    </r>
    <r>
      <rPr>
        <sz val="10"/>
        <rFont val="Noto Sans CJK SC"/>
        <family val="2"/>
      </rPr>
      <t xml:space="preserve">＋</t>
    </r>
    <r>
      <rPr>
        <sz val="10"/>
        <rFont val="Microsoft JhengHei"/>
        <family val="0"/>
        <charset val="1"/>
      </rPr>
      <t xml:space="preserve">K</t>
    </r>
    <r>
      <rPr>
        <sz val="10"/>
        <rFont val="Noto Sans CJK SC"/>
        <family val="2"/>
      </rPr>
      <t xml:space="preserve">＋</t>
    </r>
    <r>
      <rPr>
        <sz val="10"/>
        <rFont val="Microsoft JhengHei"/>
        <family val="0"/>
        <charset val="1"/>
      </rPr>
      <t xml:space="preserve">L</t>
    </r>
    <r>
      <rPr>
        <sz val="10"/>
        <rFont val="Noto Sans CJK SC"/>
        <family val="2"/>
      </rPr>
      <t xml:space="preserve">。</t>
    </r>
  </si>
  <si>
    <t xml:space="preserve">事假時數</t>
  </si>
  <si>
    <t xml:space="preserve">當月事假合計時數（全額扣薪）。</t>
  </si>
  <si>
    <t xml:space="preserve">病假時數</t>
  </si>
  <si>
    <r>
      <rPr>
        <sz val="10"/>
        <rFont val="Noto Sans CJK SC"/>
        <family val="2"/>
      </rPr>
      <t xml:space="preserve">當月普通傷病假合計時數（半薪扣款；年度累計逾 </t>
    </r>
    <r>
      <rPr>
        <sz val="10"/>
        <rFont val="Microsoft JhengHei"/>
        <family val="0"/>
        <charset val="1"/>
      </rPr>
      <t xml:space="preserve">30 </t>
    </r>
    <r>
      <rPr>
        <sz val="10"/>
        <rFont val="Noto Sans CJK SC"/>
        <family val="2"/>
      </rPr>
      <t xml:space="preserve">日給薪規則另議）。</t>
    </r>
  </si>
  <si>
    <t xml:space="preserve">請假扣款</t>
  </si>
  <si>
    <r>
      <rPr>
        <sz val="10"/>
        <rFont val="Noto Sans CJK SC"/>
        <family val="2"/>
      </rPr>
      <t xml:space="preserve">＝月薪</t>
    </r>
    <r>
      <rPr>
        <sz val="10"/>
        <rFont val="Microsoft JhengHei"/>
        <family val="0"/>
        <charset val="1"/>
      </rPr>
      <t xml:space="preserve">÷240×</t>
    </r>
    <r>
      <rPr>
        <sz val="10"/>
        <rFont val="Noto Sans CJK SC"/>
        <family val="2"/>
      </rPr>
      <t xml:space="preserve">（事假時數＋病假時數</t>
    </r>
    <r>
      <rPr>
        <sz val="10"/>
        <rFont val="Microsoft JhengHei"/>
        <family val="0"/>
        <charset val="1"/>
      </rPr>
      <t xml:space="preserve">×50%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</si>
  <si>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勞保費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自付</t>
    </r>
    <r>
      <rPr>
        <sz val="10"/>
        <rFont val="Microsoft JhengHei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</si>
  <si>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勞保級距</t>
    </r>
    <r>
      <rPr>
        <sz val="10"/>
        <rFont val="Microsoft JhengHei"/>
        <family val="0"/>
        <charset val="1"/>
      </rPr>
      <t xml:space="preserve">×12.5%×20%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</si>
  <si>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健保費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自付含眷屬</t>
    </r>
    <r>
      <rPr>
        <sz val="10"/>
        <rFont val="Microsoft JhengHei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</si>
  <si>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健保級距</t>
    </r>
    <r>
      <rPr>
        <sz val="10"/>
        <rFont val="Microsoft JhengHei"/>
        <family val="0"/>
        <charset val="1"/>
      </rPr>
      <t xml:space="preserve">×5.17%×30%×(1</t>
    </r>
    <r>
      <rPr>
        <sz val="10"/>
        <rFont val="Noto Sans CJK SC"/>
        <family val="2"/>
      </rPr>
      <t xml:space="preserve">＋計費眷口數</t>
    </r>
    <r>
      <rPr>
        <sz val="10"/>
        <rFont val="Microsoft JhengHei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</si>
  <si>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勞退自提</t>
  </si>
  <si>
    <r>
      <rPr>
        <sz val="10"/>
        <rFont val="Noto Sans CJK SC"/>
        <family val="2"/>
      </rPr>
      <t xml:space="preserve">勞退級距</t>
    </r>
    <r>
      <rPr>
        <sz val="10"/>
        <rFont val="Microsoft JhengHei"/>
        <family val="0"/>
        <charset val="1"/>
      </rPr>
      <t xml:space="preserve">×</t>
    </r>
    <r>
      <rPr>
        <sz val="10"/>
        <rFont val="Noto Sans CJK SC"/>
        <family val="2"/>
      </rPr>
      <t xml:space="preserve">自提率（免稅，已自應稅所得排除）。</t>
    </r>
  </si>
  <si>
    <r>
      <rPr>
        <sz val="10"/>
        <rFont val="Noto Sans CJK SC"/>
        <family val="2"/>
      </rPr>
      <t xml:space="preserve">年度累計獎金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含本月</t>
    </r>
    <r>
      <rPr>
        <sz val="10"/>
        <rFont val="Microsoft JhengHei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</si>
  <si>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填入「含本月」之年度累計獎金，供補充保費門檻（健保投保金額</t>
    </r>
    <r>
      <rPr>
        <sz val="10"/>
        <rFont val="Microsoft JhengHei"/>
        <family val="0"/>
        <charset val="1"/>
      </rPr>
      <t xml:space="preserve">×4 </t>
    </r>
    <r>
      <rPr>
        <sz val="10"/>
        <rFont val="Noto Sans CJK SC"/>
        <family val="2"/>
      </rPr>
      <t xml:space="preserve">倍）判斷。</t>
    </r>
  </si>
  <si>
    <t xml:space="preserve">獎金補充保費</t>
  </si>
  <si>
    <r>
      <rPr>
        <sz val="10"/>
        <rFont val="Noto Sans CJK SC"/>
        <family val="2"/>
      </rPr>
      <t xml:space="preserve">累計獎金超過健保投保金額</t>
    </r>
    <r>
      <rPr>
        <sz val="10"/>
        <rFont val="Microsoft JhengHei"/>
        <family val="0"/>
        <charset val="1"/>
      </rPr>
      <t xml:space="preserve">×4 </t>
    </r>
    <r>
      <rPr>
        <sz val="10"/>
        <rFont val="Noto Sans CJK SC"/>
        <family val="2"/>
      </rPr>
      <t xml:space="preserve">之部分</t>
    </r>
    <r>
      <rPr>
        <sz val="10"/>
        <rFont val="Microsoft JhengHei"/>
        <family val="0"/>
        <charset val="1"/>
      </rPr>
      <t xml:space="preserve">×2.11%</t>
    </r>
    <r>
      <rPr>
        <sz val="10"/>
        <rFont val="Noto Sans CJK SC"/>
        <family val="2"/>
      </rPr>
      <t xml:space="preserve">（以本月獎金為計費上限）。</t>
    </r>
  </si>
  <si>
    <t xml:space="preserve">代扣所得稅</t>
  </si>
  <si>
    <r>
      <rPr>
        <sz val="10"/>
        <rFont val="Noto Sans CJK SC"/>
        <family val="2"/>
      </rPr>
      <t xml:space="preserve">依「所得稅扣繳對照」表 </t>
    </r>
    <r>
      <rPr>
        <sz val="10"/>
        <rFont val="Microsoft JhengHei"/>
        <family val="0"/>
        <charset val="1"/>
      </rPr>
      <t xml:space="preserve">I </t>
    </r>
    <r>
      <rPr>
        <sz val="10"/>
        <rFont val="Noto Sans CJK SC"/>
        <family val="2"/>
      </rPr>
      <t xml:space="preserve">欄建議值填入；顯示「查表」者依財政部</t>
    </r>
    <r>
      <rPr>
        <sz val="10"/>
        <rFont val="Microsoft JhengHei"/>
        <family val="0"/>
        <charset val="1"/>
      </rPr>
      <t xml:space="preserve">115</t>
    </r>
    <r>
      <rPr>
        <sz val="10"/>
        <rFont val="Noto Sans CJK SC"/>
        <family val="2"/>
      </rPr>
      <t xml:space="preserve">年度扣繳稅額表查得後填入。</t>
    </r>
  </si>
  <si>
    <t xml:space="preserve">其他扣款</t>
  </si>
  <si>
    <t xml:space="preserve">法院扣押、員工同意之代扣、全勤獎金扣回等。</t>
  </si>
  <si>
    <t xml:space="preserve">X</t>
  </si>
  <si>
    <t xml:space="preserve">扣款合計</t>
  </si>
  <si>
    <r>
      <rPr>
        <sz val="10"/>
        <rFont val="Noto Sans CJK SC"/>
        <family val="2"/>
      </rPr>
      <t xml:space="preserve">＝</t>
    </r>
    <r>
      <rPr>
        <sz val="10"/>
        <rFont val="Microsoft JhengHei"/>
        <family val="0"/>
        <charset val="1"/>
      </rPr>
      <t xml:space="preserve">P</t>
    </r>
    <r>
      <rPr>
        <sz val="10"/>
        <rFont val="Noto Sans CJK SC"/>
        <family val="2"/>
      </rPr>
      <t xml:space="preserve">＋</t>
    </r>
    <r>
      <rPr>
        <sz val="10"/>
        <rFont val="Microsoft JhengHei"/>
        <family val="0"/>
        <charset val="1"/>
      </rPr>
      <t xml:space="preserve">Q</t>
    </r>
    <r>
      <rPr>
        <sz val="10"/>
        <rFont val="Noto Sans CJK SC"/>
        <family val="2"/>
      </rPr>
      <t xml:space="preserve">＋</t>
    </r>
    <r>
      <rPr>
        <sz val="10"/>
        <rFont val="Microsoft JhengHei"/>
        <family val="0"/>
        <charset val="1"/>
      </rPr>
      <t xml:space="preserve">R</t>
    </r>
    <r>
      <rPr>
        <sz val="10"/>
        <rFont val="Noto Sans CJK SC"/>
        <family val="2"/>
      </rPr>
      <t xml:space="preserve">＋</t>
    </r>
    <r>
      <rPr>
        <sz val="10"/>
        <rFont val="Microsoft JhengHei"/>
        <family val="0"/>
        <charset val="1"/>
      </rPr>
      <t xml:space="preserve">S</t>
    </r>
    <r>
      <rPr>
        <sz val="10"/>
        <rFont val="Noto Sans CJK SC"/>
        <family val="2"/>
      </rPr>
      <t xml:space="preserve">＋</t>
    </r>
    <r>
      <rPr>
        <sz val="10"/>
        <rFont val="Microsoft JhengHei"/>
        <family val="0"/>
        <charset val="1"/>
      </rPr>
      <t xml:space="preserve">U</t>
    </r>
    <r>
      <rPr>
        <sz val="10"/>
        <rFont val="Noto Sans CJK SC"/>
        <family val="2"/>
      </rPr>
      <t xml:space="preserve">＋</t>
    </r>
    <r>
      <rPr>
        <sz val="10"/>
        <rFont val="Microsoft JhengHei"/>
        <family val="0"/>
        <charset val="1"/>
      </rPr>
      <t xml:space="preserve">V</t>
    </r>
    <r>
      <rPr>
        <sz val="10"/>
        <rFont val="Noto Sans CJK SC"/>
        <family val="2"/>
      </rPr>
      <t xml:space="preserve">＋</t>
    </r>
    <r>
      <rPr>
        <sz val="10"/>
        <rFont val="Microsoft JhengHei"/>
        <family val="0"/>
        <charset val="1"/>
      </rPr>
      <t xml:space="preserve">W</t>
    </r>
    <r>
      <rPr>
        <sz val="10"/>
        <rFont val="Noto Sans CJK SC"/>
        <family val="2"/>
      </rPr>
      <t xml:space="preserve">。</t>
    </r>
  </si>
  <si>
    <t xml:space="preserve">Y</t>
  </si>
  <si>
    <t xml:space="preserve">實發金額</t>
  </si>
  <si>
    <r>
      <rPr>
        <sz val="10"/>
        <rFont val="Noto Sans CJK SC"/>
        <family val="2"/>
      </rPr>
      <t xml:space="preserve">＝</t>
    </r>
    <r>
      <rPr>
        <sz val="10"/>
        <rFont val="Microsoft JhengHei"/>
        <family val="0"/>
        <charset val="1"/>
      </rPr>
      <t xml:space="preserve">M</t>
    </r>
    <r>
      <rPr>
        <sz val="10"/>
        <rFont val="Noto Sans CJK SC"/>
        <family val="2"/>
      </rPr>
      <t xml:space="preserve">－</t>
    </r>
    <r>
      <rPr>
        <sz val="10"/>
        <rFont val="Microsoft JhengHei"/>
        <family val="0"/>
        <charset val="1"/>
      </rPr>
      <t xml:space="preserve">X</t>
    </r>
    <r>
      <rPr>
        <sz val="10"/>
        <rFont val="Noto Sans CJK SC"/>
        <family val="2"/>
      </rPr>
      <t xml:space="preserve">，即銀行轉帳金額。</t>
    </r>
  </si>
  <si>
    <t xml:space="preserve">Z–AC</t>
  </si>
  <si>
    <t xml:space="preserve">雇主四項負擔</t>
  </si>
  <si>
    <r>
      <rPr>
        <sz val="10"/>
        <rFont val="Noto Sans CJK SC"/>
        <family val="2"/>
      </rPr>
      <t xml:space="preserve">勞保</t>
    </r>
    <r>
      <rPr>
        <sz val="10"/>
        <rFont val="Microsoft JhengHei"/>
        <family val="0"/>
        <charset val="1"/>
      </rPr>
      <t xml:space="preserve">70%</t>
    </r>
    <r>
      <rPr>
        <sz val="10"/>
        <rFont val="Noto Sans CJK SC"/>
        <family val="2"/>
      </rPr>
      <t xml:space="preserve">／職保全額／健保</t>
    </r>
    <r>
      <rPr>
        <sz val="10"/>
        <rFont val="Microsoft JhengHei"/>
        <family val="0"/>
        <charset val="1"/>
      </rPr>
      <t xml:space="preserve">60%×1.56</t>
    </r>
    <r>
      <rPr>
        <sz val="10"/>
        <rFont val="Noto Sans CJK SC"/>
        <family val="2"/>
      </rPr>
      <t xml:space="preserve">／勞退</t>
    </r>
    <r>
      <rPr>
        <sz val="10"/>
        <rFont val="Microsoft JhengHei"/>
        <family val="0"/>
        <charset val="1"/>
      </rPr>
      <t xml:space="preserve">6%</t>
    </r>
    <r>
      <rPr>
        <sz val="10"/>
        <rFont val="Noto Sans CJK SC"/>
        <family val="2"/>
      </rPr>
      <t xml:space="preserve">。</t>
    </r>
  </si>
  <si>
    <t xml:space="preserve">AD,AE</t>
  </si>
  <si>
    <r>
      <rPr>
        <sz val="10"/>
        <rFont val="Noto Sans CJK SC"/>
        <family val="2"/>
      </rPr>
      <t xml:space="preserve">雇主負擔合計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總成本</t>
    </r>
  </si>
  <si>
    <r>
      <rPr>
        <sz val="10"/>
        <rFont val="Microsoft JhengHei"/>
        <family val="0"/>
        <charset val="1"/>
      </rPr>
      <t xml:space="preserve">AD</t>
    </r>
    <r>
      <rPr>
        <sz val="10"/>
        <rFont val="Noto Sans CJK SC"/>
        <family val="2"/>
      </rPr>
      <t xml:space="preserve">＝四項合計；</t>
    </r>
    <r>
      <rPr>
        <sz val="10"/>
        <rFont val="Microsoft JhengHei"/>
        <family val="0"/>
        <charset val="1"/>
      </rPr>
      <t xml:space="preserve">AE</t>
    </r>
    <r>
      <rPr>
        <sz val="10"/>
        <rFont val="Noto Sans CJK SC"/>
        <family val="2"/>
      </rPr>
      <t xml:space="preserve">＝應發＋</t>
    </r>
    <r>
      <rPr>
        <sz val="10"/>
        <rFont val="Microsoft JhengHei"/>
        <family val="0"/>
        <charset val="1"/>
      </rPr>
      <t xml:space="preserve">AD</t>
    </r>
    <r>
      <rPr>
        <sz val="10"/>
        <rFont val="Noto Sans CJK SC"/>
        <family val="2"/>
      </rPr>
      <t xml:space="preserve">（人事費用總成本）。</t>
    </r>
  </si>
  <si>
    <t xml:space="preserve">五、其他工作表</t>
  </si>
  <si>
    <t xml:space="preserve">—</t>
  </si>
  <si>
    <t xml:space="preserve">所得稅扣繳對照</t>
  </si>
  <si>
    <r>
      <rPr>
        <sz val="10"/>
        <rFont val="Noto Sans CJK SC"/>
        <family val="2"/>
      </rPr>
      <t xml:space="preserve">彙整申報資料並給出建議稅額（固定</t>
    </r>
    <r>
      <rPr>
        <sz val="10"/>
        <rFont val="Microsoft JhengHei"/>
        <family val="0"/>
        <charset val="1"/>
      </rPr>
      <t xml:space="preserve">5%</t>
    </r>
    <r>
      <rPr>
        <sz val="10"/>
        <rFont val="Noto Sans CJK SC"/>
        <family val="2"/>
      </rPr>
      <t xml:space="preserve">與非居住者全自動；查表者判斷起扣點，已扣除伙食津貼免稅額）。建議值轉填薪資總表 </t>
    </r>
    <r>
      <rPr>
        <sz val="10"/>
        <rFont val="Microsoft JhengHei"/>
        <family val="0"/>
        <charset val="1"/>
      </rPr>
      <t xml:space="preserve">V </t>
    </r>
    <r>
      <rPr>
        <sz val="10"/>
        <rFont val="Noto Sans CJK SC"/>
        <family val="2"/>
      </rPr>
      <t xml:space="preserve">欄。</t>
    </r>
  </si>
  <si>
    <t xml:space="preserve">E,F</t>
  </si>
  <si>
    <t xml:space="preserve">獎金扣繳試算</t>
  </si>
  <si>
    <t xml:space="preserve">手動｜發放時</t>
  </si>
  <si>
    <r>
      <rPr>
        <sz val="10"/>
        <rFont val="Noto Sans CJK SC"/>
        <family val="2"/>
      </rPr>
      <t xml:space="preserve">僅填發放前年度累計獎金（</t>
    </r>
    <r>
      <rPr>
        <sz val="10"/>
        <rFont val="Microsoft JhengHei"/>
        <family val="0"/>
        <charset val="1"/>
      </rPr>
      <t xml:space="preserve">E</t>
    </r>
    <r>
      <rPr>
        <sz val="10"/>
        <rFont val="Noto Sans CJK SC"/>
        <family val="2"/>
      </rPr>
      <t xml:space="preserve">）與本次獎金（</t>
    </r>
    <r>
      <rPr>
        <sz val="10"/>
        <rFont val="Microsoft JhengHei"/>
        <family val="0"/>
        <charset val="1"/>
      </rPr>
      <t xml:space="preserve">F</t>
    </r>
    <r>
      <rPr>
        <sz val="10"/>
        <rFont val="Noto Sans CJK SC"/>
        <family val="2"/>
      </rPr>
      <t xml:space="preserve">），補充保費與</t>
    </r>
    <r>
      <rPr>
        <sz val="10"/>
        <rFont val="Microsoft JhengHei"/>
        <family val="0"/>
        <charset val="1"/>
      </rPr>
      <t xml:space="preserve">5%</t>
    </r>
    <r>
      <rPr>
        <sz val="10"/>
        <rFont val="Noto Sans CJK SC"/>
        <family val="2"/>
      </rPr>
      <t xml:space="preserve">扣繳自動算出；隨薪資發放時同步填入總表 </t>
    </r>
    <r>
      <rPr>
        <sz val="10"/>
        <rFont val="Microsoft JhengHei"/>
        <family val="0"/>
        <charset val="1"/>
      </rPr>
      <t xml:space="preserve">L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T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V </t>
    </r>
    <r>
      <rPr>
        <sz val="10"/>
        <rFont val="Noto Sans CJK SC"/>
        <family val="2"/>
      </rPr>
      <t xml:space="preserve">欄。</t>
    </r>
  </si>
  <si>
    <t xml:space="preserve">部門成本彙總</t>
  </si>
  <si>
    <t xml:space="preserve">手動｜名稱欄</t>
  </si>
  <si>
    <r>
      <rPr>
        <sz val="10"/>
        <rFont val="Noto Sans CJK SC"/>
        <family val="2"/>
      </rPr>
      <t xml:space="preserve">僅各區塊「名稱」欄需維護，金額自動彙總；「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未填寫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差異</t>
    </r>
    <r>
      <rPr>
        <sz val="10"/>
        <rFont val="Microsoft JhengHei"/>
        <family val="0"/>
        <charset val="1"/>
      </rPr>
      <t xml:space="preserve">)</t>
    </r>
    <r>
      <rPr>
        <sz val="10"/>
        <rFont val="Noto Sans CJK SC"/>
        <family val="2"/>
      </rPr>
      <t xml:space="preserve">」列＞</t>
    </r>
    <r>
      <rPr>
        <sz val="10"/>
        <rFont val="Microsoft JhengHei"/>
        <family val="0"/>
        <charset val="1"/>
      </rPr>
      <t xml:space="preserve">0</t>
    </r>
    <r>
      <rPr>
        <sz val="10"/>
        <rFont val="Noto Sans CJK SC"/>
        <family val="2"/>
      </rPr>
      <t xml:space="preserve">（紅底）表示有員工漏填分類。</t>
    </r>
  </si>
  <si>
    <t xml:space="preserve">B4</t>
  </si>
  <si>
    <t xml:space="preserve">薪資條</t>
  </si>
  <si>
    <t xml:space="preserve">手動｜選擇</t>
  </si>
  <si>
    <r>
      <rPr>
        <sz val="10"/>
        <rFont val="Noto Sans CJK SC"/>
        <family val="2"/>
      </rPr>
      <t xml:space="preserve">下拉選擇員工編號，應發項目依薪資結構逐項列示，可直接列印或另存 </t>
    </r>
    <r>
      <rPr>
        <sz val="10"/>
        <rFont val="Microsoft JhengHei"/>
        <family val="0"/>
        <charset val="1"/>
      </rPr>
      <t xml:space="preserve">PDF</t>
    </r>
    <r>
      <rPr>
        <sz val="10"/>
        <rFont val="Noto Sans CJK SC"/>
        <family val="2"/>
      </rPr>
      <t xml:space="preserve">。</t>
    </r>
  </si>
  <si>
    <t xml:space="preserve">參數設定／級距表</t>
  </si>
  <si>
    <t xml:space="preserve">手動｜每年</t>
  </si>
  <si>
    <r>
      <rPr>
        <sz val="10"/>
        <rFont val="Noto Sans CJK SC"/>
        <family val="2"/>
      </rPr>
      <t xml:space="preserve">每年 </t>
    </r>
    <r>
      <rPr>
        <sz val="10"/>
        <rFont val="Microsoft JhengHei"/>
        <family val="0"/>
        <charset val="1"/>
      </rPr>
      <t xml:space="preserve">1 </t>
    </r>
    <r>
      <rPr>
        <sz val="10"/>
        <rFont val="Noto Sans CJK SC"/>
        <family val="2"/>
      </rPr>
      <t xml:space="preserve">月年度更新；黃底儲存格（職保行業費率、基準日等）為公司別假設，請自行確認。</t>
    </r>
  </si>
  <si>
    <t xml:space="preserve">六、維護注意事項</t>
  </si>
  <si>
    <r>
      <rPr>
        <sz val="10"/>
        <rFont val="Noto Sans CJK SC"/>
        <family val="2"/>
      </rPr>
      <t xml:space="preserve">• 眷屬只在「眷屬名冊」一處維護：依附健保／報稅扶養兩旗標分別流向健保費與所得稅起扣點，員工清單 </t>
    </r>
    <r>
      <rPr>
        <sz val="10"/>
        <rFont val="Microsoft JhengHei"/>
        <family val="0"/>
        <charset val="1"/>
      </rPr>
      <t xml:space="preserve">N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V </t>
    </r>
    <r>
      <rPr>
        <sz val="10"/>
        <rFont val="Noto Sans CJK SC"/>
        <family val="2"/>
      </rPr>
      <t xml:space="preserve">欄已改為自動統計，請勿在員工清單直接輸入眷屬數字（會蓋掉公式）。</t>
    </r>
  </si>
  <si>
    <r>
      <rPr>
        <sz val="10"/>
        <rFont val="Noto Sans CJK SC"/>
        <family val="2"/>
      </rPr>
      <t xml:space="preserve">• 工資認定看「勞務對價＋經常性」而非名稱：經常性給與一律列入薪資結構（計級距）；年終／三節屬非經常性（總表</t>
    </r>
    <r>
      <rPr>
        <sz val="10"/>
        <rFont val="Microsoft JhengHei"/>
        <family val="0"/>
        <charset val="1"/>
      </rPr>
      <t xml:space="preserve">L</t>
    </r>
    <r>
      <rPr>
        <sz val="10"/>
        <rFont val="Noto Sans CJK SC"/>
        <family val="2"/>
      </rPr>
      <t xml:space="preserve">欄）；差旅費代墊非工資（總表</t>
    </r>
    <r>
      <rPr>
        <sz val="10"/>
        <rFont val="Microsoft JhengHei"/>
        <family val="0"/>
        <charset val="1"/>
      </rPr>
      <t xml:space="preserve">K</t>
    </r>
    <r>
      <rPr>
        <sz val="10"/>
        <rFont val="Noto Sans CJK SC"/>
        <family val="2"/>
      </rPr>
      <t xml:space="preserve">欄並留憑證）。</t>
    </r>
  </si>
  <si>
    <t xml:space="preserve">• 新進員工：員工清單空白列填基本資料 → 薪資結構同列填工資項目 → 眷屬名冊逐列登錄眷屬，其餘各表自動出現該員。</t>
  </si>
  <si>
    <t xml:space="preserve">• 員工離職：清空員工清單與薪資結構該列藍字，並清空（或刪除）眷屬名冊中該員之眷屬列——名冊不需逐列對齊，可安全刪除整列；遺留的孤兒眷屬列會顯示「⚠查無此員編」紅底提醒。</t>
  </si>
  <si>
    <t xml:space="preserve">• 所有深藍標題欄位（公式）若被誤改，請勿存檔，重新開啟檔案或自相鄰列複製公式還原。</t>
  </si>
  <si>
    <t xml:space="preserve">計薪相關法規重點與來源（115年／2026年版）</t>
  </si>
  <si>
    <t xml:space="preserve">類別</t>
  </si>
  <si>
    <t xml:space="preserve">項目</t>
  </si>
  <si>
    <t xml:space="preserve">重點說明</t>
  </si>
  <si>
    <t xml:space="preserve">法源依據</t>
  </si>
  <si>
    <t xml:space="preserve">官方來源／連結</t>
  </si>
  <si>
    <t xml:space="preserve">工資</t>
  </si>
  <si>
    <t xml:space="preserve">工資定義</t>
  </si>
  <si>
    <t xml:space="preserve">因工作獲得之報酬，含薪金、獎金、津貼及其他任何名義之「經常性給與」。職務加給、全勤獎金、固定伙食津貼等均屬工資，為加班費與投保級距之計算基礎；年終、三節等恩惠性給與不計。</t>
  </si>
  <si>
    <t xml:space="preserve">勞動基準法第2條第3款</t>
  </si>
  <si>
    <t xml:space="preserve">https://law.moj.gov.tw/LawClass/LawAll.aspx?pcode=N0030001</t>
  </si>
  <si>
    <t xml:space="preserve">最低工資</t>
  </si>
  <si>
    <r>
      <rPr>
        <sz val="10"/>
        <rFont val="Microsoft JhengHei"/>
        <family val="0"/>
        <charset val="1"/>
      </rPr>
      <t xml:space="preserve">115</t>
    </r>
    <r>
      <rPr>
        <sz val="10"/>
        <rFont val="Noto Sans CJK SC"/>
        <family val="2"/>
      </rPr>
      <t xml:space="preserve">年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月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日起每月最低工資 </t>
    </r>
    <r>
      <rPr>
        <sz val="10"/>
        <rFont val="Microsoft JhengHei"/>
        <family val="0"/>
        <charset val="1"/>
      </rPr>
      <t xml:space="preserve">29,500 </t>
    </r>
    <r>
      <rPr>
        <sz val="10"/>
        <rFont val="Noto Sans CJK SC"/>
        <family val="2"/>
      </rPr>
      <t xml:space="preserve">元、每小時 </t>
    </r>
    <r>
      <rPr>
        <sz val="10"/>
        <rFont val="Microsoft JhengHei"/>
        <family val="0"/>
        <charset val="1"/>
      </rPr>
      <t xml:space="preserve">196 </t>
    </r>
    <r>
      <rPr>
        <sz val="10"/>
        <rFont val="Noto Sans CJK SC"/>
        <family val="2"/>
      </rPr>
      <t xml:space="preserve">元（連續第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年調漲，調幅</t>
    </r>
    <r>
      <rPr>
        <sz val="10"/>
        <rFont val="Microsoft JhengHei"/>
        <family val="0"/>
        <charset val="1"/>
      </rPr>
      <t xml:space="preserve">3.18%</t>
    </r>
    <r>
      <rPr>
        <sz val="10"/>
        <rFont val="Noto Sans CJK SC"/>
        <family val="2"/>
      </rPr>
      <t xml:space="preserve">）。約定工資低於最低工資者，以最低工資為準。</t>
    </r>
  </si>
  <si>
    <t xml:space="preserve">最低工資法第5條；勞動部114.9.26審議決議</t>
  </si>
  <si>
    <t xml:space="preserve">https://www.mol.gov.tw/1607/28162/28166/28180/28182/28188/29025/post</t>
  </si>
  <si>
    <t xml:space="preserve">工資給付與薪資明細</t>
  </si>
  <si>
    <t xml:space="preserve">工資應全額直接、按期（至少每月二次或約定每月一次）給付；雇主應提供工資各項目計算方式明細（薪資條）；工資清冊應保存5年。</t>
  </si>
  <si>
    <t xml:space="preserve">勞動基準法第22、23條</t>
  </si>
  <si>
    <t xml:space="preserve">工時</t>
  </si>
  <si>
    <t xml:space="preserve">正常工時</t>
  </si>
  <si>
    <t xml:space="preserve">每日不得超過8小時、每週不得超過40小時。</t>
  </si>
  <si>
    <t xml:space="preserve">勞動基準法第30條</t>
  </si>
  <si>
    <t xml:space="preserve">平日延長工時加給</t>
  </si>
  <si>
    <t xml:space="preserve">前2小時：平日每小時工資×1又1/3；再延長2小時：×1又2/3。時薪基準＝月薪÷30÷8（本表以÷240計）。</t>
  </si>
  <si>
    <t xml:space="preserve">勞動基準法第24條第1項</t>
  </si>
  <si>
    <t xml:space="preserve">休息日出勤加給</t>
  </si>
  <si>
    <t xml:space="preserve">前2小時×1又1/3，第3小時起×1又2/3，按實際出勤時數計算。</t>
  </si>
  <si>
    <t xml:space="preserve">勞動基準法第24條第2、3項</t>
  </si>
  <si>
    <t xml:space="preserve">加班上限</t>
  </si>
  <si>
    <t xml:space="preserve">延長工時連同正常工時每日不得超過12小時；每月加班上限46小時（經工會或勞資會議同意得至54小時，每3個月不得超過138小時）。</t>
  </si>
  <si>
    <t xml:space="preserve">勞動基準法第32條</t>
  </si>
  <si>
    <t xml:space="preserve">休假</t>
  </si>
  <si>
    <t xml:space="preserve">例假與休息日</t>
  </si>
  <si>
    <t xml:space="preserve">每7日應有2日休息，1日為例假、1日為休息日（七休一）。例假僅天災、事變或突發事件可使出勤，且工資加倍並補假。</t>
  </si>
  <si>
    <t xml:space="preserve">勞動基準法第36、40條</t>
  </si>
  <si>
    <t xml:space="preserve">國定假日出勤</t>
  </si>
  <si>
    <t xml:space="preserve">休假日（國定假日）工資照給；經同意出勤者，工資加倍發給（即另加發1日工資；未滿8小時亦同，本表以時數×1倍估算，請依函釋調整）。</t>
  </si>
  <si>
    <t xml:space="preserve">勞動基準法第37、39條</t>
  </si>
  <si>
    <t xml:space="preserve">特別休假</t>
  </si>
  <si>
    <r>
      <rPr>
        <sz val="10"/>
        <rFont val="Microsoft JhengHei"/>
        <family val="0"/>
        <charset val="1"/>
      </rPr>
      <t xml:space="preserve">6</t>
    </r>
    <r>
      <rPr>
        <sz val="10"/>
        <rFont val="Noto Sans CJK SC"/>
        <family val="2"/>
      </rPr>
      <t xml:space="preserve">個月以上未滿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年</t>
    </r>
    <r>
      <rPr>
        <sz val="10"/>
        <rFont val="Microsoft JhengHei"/>
        <family val="0"/>
        <charset val="1"/>
      </rPr>
      <t xml:space="preserve">3</t>
    </r>
    <r>
      <rPr>
        <sz val="10"/>
        <rFont val="Noto Sans CJK SC"/>
        <family val="2"/>
      </rPr>
      <t xml:space="preserve">日；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年</t>
    </r>
    <r>
      <rPr>
        <sz val="10"/>
        <rFont val="Microsoft JhengHei"/>
        <family val="0"/>
        <charset val="1"/>
      </rPr>
      <t xml:space="preserve">7</t>
    </r>
    <r>
      <rPr>
        <sz val="10"/>
        <rFont val="Noto Sans CJK SC"/>
        <family val="2"/>
      </rPr>
      <t xml:space="preserve">日；</t>
    </r>
    <r>
      <rPr>
        <sz val="10"/>
        <rFont val="Microsoft JhengHei"/>
        <family val="0"/>
        <charset val="1"/>
      </rPr>
      <t xml:space="preserve">2</t>
    </r>
    <r>
      <rPr>
        <sz val="10"/>
        <rFont val="Noto Sans CJK SC"/>
        <family val="2"/>
      </rPr>
      <t xml:space="preserve">年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日；</t>
    </r>
    <r>
      <rPr>
        <sz val="10"/>
        <rFont val="Microsoft JhengHei"/>
        <family val="0"/>
        <charset val="1"/>
      </rPr>
      <t xml:space="preserve">3</t>
    </r>
    <r>
      <rPr>
        <sz val="10"/>
        <rFont val="Noto Sans CJK SC"/>
        <family val="2"/>
      </rPr>
      <t xml:space="preserve">年</t>
    </r>
    <r>
      <rPr>
        <sz val="10"/>
        <rFont val="Microsoft JhengHei"/>
        <family val="0"/>
        <charset val="1"/>
      </rPr>
      <t xml:space="preserve">14</t>
    </r>
    <r>
      <rPr>
        <sz val="10"/>
        <rFont val="Noto Sans CJK SC"/>
        <family val="2"/>
      </rPr>
      <t xml:space="preserve">日；</t>
    </r>
    <r>
      <rPr>
        <sz val="10"/>
        <rFont val="Microsoft JhengHei"/>
        <family val="0"/>
        <charset val="1"/>
      </rPr>
      <t xml:space="preserve">5</t>
    </r>
    <r>
      <rPr>
        <sz val="10"/>
        <rFont val="Noto Sans CJK SC"/>
        <family val="2"/>
      </rPr>
      <t xml:space="preserve">年</t>
    </r>
    <r>
      <rPr>
        <sz val="10"/>
        <rFont val="Microsoft JhengHei"/>
        <family val="0"/>
        <charset val="1"/>
      </rPr>
      <t xml:space="preserve">15</t>
    </r>
    <r>
      <rPr>
        <sz val="10"/>
        <rFont val="Noto Sans CJK SC"/>
        <family val="2"/>
      </rPr>
      <t xml:space="preserve">日；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年以上每年加</t>
    </r>
    <r>
      <rPr>
        <sz val="10"/>
        <rFont val="Microsoft JhengHei"/>
        <family val="0"/>
        <charset val="1"/>
      </rPr>
      <t xml:space="preserve">1</t>
    </r>
    <r>
      <rPr>
        <sz val="10"/>
        <rFont val="Noto Sans CJK SC"/>
        <family val="2"/>
      </rPr>
      <t xml:space="preserve">日至上限</t>
    </r>
    <r>
      <rPr>
        <sz val="10"/>
        <rFont val="Microsoft JhengHei"/>
        <family val="0"/>
        <charset val="1"/>
      </rPr>
      <t xml:space="preserve">30</t>
    </r>
    <r>
      <rPr>
        <sz val="10"/>
        <rFont val="Noto Sans CJK SC"/>
        <family val="2"/>
      </rPr>
      <t xml:space="preserve">日。年度終結或離職未休畢日數應折發工資。</t>
    </r>
  </si>
  <si>
    <t xml:space="preserve">勞動基準法第38條</t>
  </si>
  <si>
    <t xml:space="preserve">請假</t>
  </si>
  <si>
    <t xml:space="preserve">事假／普通傷病假</t>
  </si>
  <si>
    <t xml:space="preserve">事假每年14日內，期間不給工資（本表以日薪比例扣薪）；普通傷病假未住院每年30日內，工資折半發給。</t>
  </si>
  <si>
    <t xml:space="preserve">勞工請假規則第4、7條</t>
  </si>
  <si>
    <t xml:space="preserve">https://law.moj.gov.tw/LawClass/LawAll.aspx?pcode=N0030006</t>
  </si>
  <si>
    <t xml:space="preserve">婚假／喪假／公假</t>
  </si>
  <si>
    <t xml:space="preserve">婚假8日、喪假依親等8／6／3日、公假，期間工資照給。</t>
  </si>
  <si>
    <t xml:space="preserve">勞工請假規則第2、3、8條</t>
  </si>
  <si>
    <t xml:space="preserve">產假／陪產檢及陪產假／生理假</t>
  </si>
  <si>
    <t xml:space="preserve">產假8週（受僱滿6個月工資照給，未滿半數）；陪產檢及陪產假7日工資照給（第6、7日雇主可申請補助）；生理假每月1日，全年3日內不併入病假，工資折半。</t>
  </si>
  <si>
    <t xml:space="preserve">性別平等工作法第14、15條；勞基法第50條</t>
  </si>
  <si>
    <t xml:space="preserve">https://law.moj.gov.tw/LawClass/LawAll.aspx?pcode=N0030014</t>
  </si>
  <si>
    <t xml:space="preserve">勞保</t>
  </si>
  <si>
    <t xml:space="preserve">加保義務與投保薪資</t>
  </si>
  <si>
    <t xml:space="preserve">員工到職當日即應申報加保、離職當日退保；月投保薪資依「月薪資總額」對照分級表覈實申報，薪資不固定者以最近3個月平均申報。</t>
  </si>
  <si>
    <t xml:space="preserve">勞工保險條例第11、14條；施行細則第27條</t>
  </si>
  <si>
    <t xml:space="preserve">https://law.moj.gov.tw/LawClass/LawAll.aspx?pcode=N0050001</t>
  </si>
  <si>
    <r>
      <rPr>
        <sz val="10"/>
        <rFont val="Microsoft JhengHei"/>
        <family val="0"/>
        <charset val="1"/>
      </rPr>
      <t xml:space="preserve">115</t>
    </r>
    <r>
      <rPr>
        <sz val="10"/>
        <rFont val="Noto Sans CJK SC"/>
        <family val="2"/>
      </rPr>
      <t xml:space="preserve">年費率與負擔</t>
    </r>
  </si>
  <si>
    <t xml:space="preserve">勞保普通事故費率11.5%＋就業保險1%＝合計12.5%；受僱勞工負擔20%、雇主70%、政府10%。下次調升預定116年（合計13%）。</t>
  </si>
  <si>
    <t xml:space="preserve">勞工保險條例第13、15條；就業保險法第8、40條</t>
  </si>
  <si>
    <t xml:space="preserve">https://www.bli.gov.tw/0005475.html</t>
  </si>
  <si>
    <t xml:space="preserve">高薪低報罰則</t>
  </si>
  <si>
    <t xml:space="preserve">投保薪資以多報少或以少報多者，處短報溢報保險費金額4倍罰鍰，並追繳差額、賠償勞工損失。</t>
  </si>
  <si>
    <t xml:space="preserve">勞工保險條例第72條第3項</t>
  </si>
  <si>
    <t xml:space="preserve">職保</t>
  </si>
  <si>
    <t xml:space="preserve">職災保險</t>
  </si>
  <si>
    <r>
      <rPr>
        <sz val="10"/>
        <rFont val="Microsoft JhengHei"/>
        <family val="0"/>
        <charset val="1"/>
      </rPr>
      <t xml:space="preserve">115</t>
    </r>
    <r>
      <rPr>
        <sz val="10"/>
        <rFont val="Noto Sans CJK SC"/>
        <family val="2"/>
      </rPr>
      <t xml:space="preserve">年分級表下限</t>
    </r>
    <r>
      <rPr>
        <sz val="10"/>
        <rFont val="Microsoft JhengHei"/>
        <family val="0"/>
        <charset val="1"/>
      </rPr>
      <t xml:space="preserve">29,500</t>
    </r>
    <r>
      <rPr>
        <sz val="10"/>
        <rFont val="Noto Sans CJK SC"/>
        <family val="2"/>
      </rPr>
      <t xml:space="preserve">元、上限</t>
    </r>
    <r>
      <rPr>
        <sz val="10"/>
        <rFont val="Microsoft JhengHei"/>
        <family val="0"/>
        <charset val="1"/>
      </rPr>
      <t xml:space="preserve">72,800</t>
    </r>
    <r>
      <rPr>
        <sz val="10"/>
        <rFont val="Noto Sans CJK SC"/>
        <family val="2"/>
      </rPr>
      <t xml:space="preserve">元；保費全額由雇主負擔，費率＝行業別費率＋上下班災害費率（全產業平均約</t>
    </r>
    <r>
      <rPr>
        <sz val="10"/>
        <rFont val="Microsoft JhengHei"/>
        <family val="0"/>
        <charset val="1"/>
      </rPr>
      <t xml:space="preserve">0.21%</t>
    </r>
    <r>
      <rPr>
        <sz val="10"/>
        <rFont val="Noto Sans CJK SC"/>
        <family val="2"/>
      </rPr>
      <t xml:space="preserve">，請依勞保局核定值填入參數設定）。</t>
    </r>
  </si>
  <si>
    <t xml:space="preserve">勞工職業災害保險及保護法第16、17、19條</t>
  </si>
  <si>
    <t xml:space="preserve">https://law.moj.gov.tw/LawClass/LawAll.aspx?pcode=N0060070</t>
  </si>
  <si>
    <t xml:space="preserve">健保</t>
  </si>
  <si>
    <t xml:space="preserve">費率維持5.17%；第1類受僱者：本人負擔30%、投保單位60%、政府10%。眷屬隨同投保，員工自付眷屬保費超過3口以3口計；雇主負擔按平均眷口數0.56（即×1.56）計收。</t>
  </si>
  <si>
    <t xml:space="preserve">全民健康保險法第18、27、29、30條</t>
  </si>
  <si>
    <t xml:space="preserve">https://www.nhi.gov.tw/ch/cp-19421-f9533-2569-1.html</t>
  </si>
  <si>
    <t xml:space="preserve">投保金額申報</t>
  </si>
  <si>
    <t xml:space="preserve">受僱者投保金額依其薪資所得對照分級表申報（115年第1級29,500元、最高第58級313,000元）；未覈實申報得處罰鍰並追繳。</t>
  </si>
  <si>
    <t xml:space="preserve">全民健康保險法第20、80條</t>
  </si>
  <si>
    <t xml:space="preserve">補充保費</t>
  </si>
  <si>
    <t xml:space="preserve">個人—高額獎金</t>
  </si>
  <si>
    <t xml:space="preserve">全年累計獎金超過「當月投保金額×4倍」部分，就超過額（與單次給付額取較小者）按2.11%就源扣繳，單次費基上限1,000萬元。</t>
  </si>
  <si>
    <t xml:space="preserve">全民健康保險法第31條；扣取及繳納補充保險費辦法</t>
  </si>
  <si>
    <t xml:space="preserve">https://www.nhi.gov.tw/ch/cp-2489-1e757-3151-1.html</t>
  </si>
  <si>
    <t xml:space="preserve">投保單位—差額</t>
  </si>
  <si>
    <t xml:space="preserve">每月支付薪資所得總額超過受僱者當月投保金額總額之差額，按2.11%計繳投保單位補充保險費。</t>
  </si>
  <si>
    <t xml:space="preserve">全民健康保險法第34條</t>
  </si>
  <si>
    <t xml:space="preserve">https://www.nhi.gov.tw/ch/np-3144-1.html</t>
  </si>
  <si>
    <t xml:space="preserve">勞退</t>
  </si>
  <si>
    <t xml:space="preserve">雇主提繳</t>
  </si>
  <si>
    <t xml:space="preserve">適用勞退新制者，雇主每月按「月提繳工資」（115年分級表，上限150,000元）提繳不得低於6%至個人專戶；未依規定提繳，自期限屆滿次日起按月加徵滯納金並得處罰鍰。</t>
  </si>
  <si>
    <t xml:space="preserve">勞工退休金條例第14、53條</t>
  </si>
  <si>
    <t xml:space="preserve">https://www.bli.gov.tw/0012959.html</t>
  </si>
  <si>
    <t xml:space="preserve">個人自願提繳</t>
  </si>
  <si>
    <t xml:space="preserve">勞工得在6%範圍內自願提繳，自提部分自當年度個人綜合所得總額中全數扣除（節稅）。</t>
  </si>
  <si>
    <t xml:space="preserve">勞工退休金條例第14條第3項</t>
  </si>
  <si>
    <t xml:space="preserve">https://law.moj.gov.tw/LawClass/LawAll.aspx?pcode=N0030020</t>
  </si>
  <si>
    <t xml:space="preserve">資遣</t>
  </si>
  <si>
    <t xml:space="preserve">資遣費（新制）</t>
  </si>
  <si>
    <t xml:space="preserve">每滿1年發給0.5個月平均工資，未滿1年按比例計，最高以6個月平均工資為限；另依年資給予10～30日預告期間或預告工資。</t>
  </si>
  <si>
    <t xml:space="preserve">勞工退休金條例第12條；勞動基準法第16條</t>
  </si>
  <si>
    <t xml:space="preserve">稅務</t>
  </si>
  <si>
    <t xml:space="preserve">伙食費免稅額</t>
  </si>
  <si>
    <t xml:space="preserve">員工伙食費（含加班誤餐費）每人每月3,000元內免視為薪資所得；超過部分應併入薪資扣繳。</t>
  </si>
  <si>
    <t xml:space="preserve">營利事業所得稅查核準則第88條（114年起調升為3,000元）</t>
  </si>
  <si>
    <t xml:space="preserve">https://www.ntbt.gov.tw</t>
  </si>
  <si>
    <t xml:space="preserve">薪資所得扣繳</t>
  </si>
  <si>
    <t xml:space="preserve">固定薪資依「薪資所得扣繳稅額表」或一律5%擇一扣繳；非固定獎金單次給付超過當年度起扣標準者扣繳5%。本表「代扣所得稅」為人工輸入欄。</t>
  </si>
  <si>
    <t xml:space="preserve">各類所得扣繳率標準第2條</t>
  </si>
  <si>
    <t xml:space="preserve">https://www.mof.gov.tw</t>
  </si>
  <si>
    <t xml:space="preserve">參數設定（全簿公式之唯一來源；藍字＝輸入，黃底＝須依公司確認）</t>
  </si>
  <si>
    <t xml:space="preserve">代號</t>
  </si>
  <si>
    <t xml:space="preserve">數值</t>
  </si>
  <si>
    <t xml:space="preserve">說明</t>
  </si>
  <si>
    <t xml:space="preserve">法源／來源</t>
  </si>
  <si>
    <t xml:space="preserve">特休對照（年資月數下限）</t>
  </si>
  <si>
    <t xml:space="preserve">特休天數</t>
  </si>
  <si>
    <t xml:space="preserve">適用年度</t>
  </si>
  <si>
    <t xml:space="preserve">C3</t>
  </si>
  <si>
    <r>
      <rPr>
        <sz val="10"/>
        <color rgb="FF0000FF"/>
        <rFont val="Microsoft JhengHei"/>
        <family val="0"/>
        <charset val="1"/>
      </rPr>
      <t xml:space="preserve">115</t>
    </r>
    <r>
      <rPr>
        <sz val="10"/>
        <color rgb="FF0000FF"/>
        <rFont val="Noto Sans CJK SC"/>
        <family val="2"/>
      </rPr>
      <t xml:space="preserve">年（</t>
    </r>
    <r>
      <rPr>
        <sz val="10"/>
        <color rgb="FF0000FF"/>
        <rFont val="Microsoft JhengHei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年）</t>
    </r>
  </si>
  <si>
    <r>
      <rPr>
        <sz val="9"/>
        <rFont val="Microsoft JhengHei"/>
        <family val="0"/>
        <charset val="1"/>
      </rPr>
      <t xml:space="preserve">1</t>
    </r>
    <r>
      <rPr>
        <sz val="9"/>
        <rFont val="Noto Sans CJK SC"/>
        <family val="2"/>
      </rPr>
      <t xml:space="preserve">月</t>
    </r>
    <r>
      <rPr>
        <sz val="9"/>
        <rFont val="Microsoft JhengHei"/>
        <family val="0"/>
        <charset val="1"/>
      </rPr>
      <t xml:space="preserve">1</t>
    </r>
    <r>
      <rPr>
        <sz val="9"/>
        <rFont val="Noto Sans CJK SC"/>
        <family val="2"/>
      </rPr>
      <t xml:space="preserve">日起生效</t>
    </r>
  </si>
  <si>
    <t xml:space="preserve">勞動部公告</t>
  </si>
  <si>
    <t xml:space="preserve">最低工資（月）</t>
  </si>
  <si>
    <t xml:space="preserve">C4</t>
  </si>
  <si>
    <t xml:space="preserve">投保下限、最低工資檢核</t>
  </si>
  <si>
    <t xml:space="preserve">最低工資法第5條</t>
  </si>
  <si>
    <t xml:space="preserve">最低工資（時）</t>
  </si>
  <si>
    <t xml:space="preserve">C5</t>
  </si>
  <si>
    <t xml:space="preserve">時薪制人員下限</t>
  </si>
  <si>
    <t xml:space="preserve">同上</t>
  </si>
  <si>
    <t xml:space="preserve">勞保普通事故費率</t>
  </si>
  <si>
    <t xml:space="preserve">C6</t>
  </si>
  <si>
    <r>
      <rPr>
        <sz val="9"/>
        <rFont val="Microsoft JhengHei"/>
        <family val="0"/>
        <charset val="1"/>
      </rPr>
      <t xml:space="preserve">115</t>
    </r>
    <r>
      <rPr>
        <sz val="9"/>
        <rFont val="Noto Sans CJK SC"/>
        <family val="2"/>
      </rPr>
      <t xml:space="preserve">年維持</t>
    </r>
    <r>
      <rPr>
        <sz val="9"/>
        <rFont val="Microsoft JhengHei"/>
        <family val="0"/>
        <charset val="1"/>
      </rPr>
      <t xml:space="preserve">11.5%</t>
    </r>
  </si>
  <si>
    <t xml:space="preserve">勞保條例第13條</t>
  </si>
  <si>
    <t xml:space="preserve">就業保險費率</t>
  </si>
  <si>
    <t xml:space="preserve">C7</t>
  </si>
  <si>
    <t xml:space="preserve">與勞保費合併計收</t>
  </si>
  <si>
    <t xml:space="preserve">就業保險法第8條</t>
  </si>
  <si>
    <t xml:space="preserve">勞保＋就保合計費率</t>
  </si>
  <si>
    <t xml:space="preserve">C8</t>
  </si>
  <si>
    <t xml:space="preserve">12.5%</t>
  </si>
  <si>
    <t xml:space="preserve">勞就保 勞工負擔比例</t>
  </si>
  <si>
    <t xml:space="preserve">C9</t>
  </si>
  <si>
    <t xml:space="preserve">雇主70%、政府10%</t>
  </si>
  <si>
    <t xml:space="preserve">勞保條例第15條</t>
  </si>
  <si>
    <t xml:space="preserve">勞就保 雇主負擔比例</t>
  </si>
  <si>
    <t xml:space="preserve">C10</t>
  </si>
  <si>
    <t xml:space="preserve">職保費率（行業別＋上下班）</t>
  </si>
  <si>
    <t xml:space="preserve">C11</t>
  </si>
  <si>
    <t xml:space="preserve">全產業平均約0.21%，請改為勞保局核定之本公司費率；全額雇主負擔</t>
  </si>
  <si>
    <t xml:space="preserve">災保法第16、19條</t>
  </si>
  <si>
    <t xml:space="preserve">健保費率</t>
  </si>
  <si>
    <t xml:space="preserve">C12</t>
  </si>
  <si>
    <r>
      <rPr>
        <sz val="9"/>
        <rFont val="Microsoft JhengHei"/>
        <family val="0"/>
        <charset val="1"/>
      </rPr>
      <t xml:space="preserve">115</t>
    </r>
    <r>
      <rPr>
        <sz val="9"/>
        <rFont val="Noto Sans CJK SC"/>
        <family val="2"/>
      </rPr>
      <t xml:space="preserve">年維持不變</t>
    </r>
  </si>
  <si>
    <t xml:space="preserve">健保法第18條</t>
  </si>
  <si>
    <t xml:space="preserve">健保 勞工負擔比例</t>
  </si>
  <si>
    <t xml:space="preserve">C13</t>
  </si>
  <si>
    <t xml:space="preserve">雇主60%、政府10%（第1類受僱者）</t>
  </si>
  <si>
    <t xml:space="preserve">健保法第27條</t>
  </si>
  <si>
    <t xml:space="preserve">健保 雇主負擔比例</t>
  </si>
  <si>
    <t xml:space="preserve">C14</t>
  </si>
  <si>
    <t xml:space="preserve">健保平均眷口數（雇主）</t>
  </si>
  <si>
    <t xml:space="preserve">C15</t>
  </si>
  <si>
    <t xml:space="preserve">雇主負擔＝投保金額×費率×60%×(1+0.56)</t>
  </si>
  <si>
    <t xml:space="preserve">健保署公告</t>
  </si>
  <si>
    <t xml:space="preserve">眷屬計費上限（口）</t>
  </si>
  <si>
    <t xml:space="preserve">C16</t>
  </si>
  <si>
    <t xml:space="preserve">員工自付眷屬超過3口以3口計</t>
  </si>
  <si>
    <t xml:space="preserve">健保法第29條</t>
  </si>
  <si>
    <t xml:space="preserve">勞退雇主提繳率</t>
  </si>
  <si>
    <t xml:space="preserve">C17</t>
  </si>
  <si>
    <t xml:space="preserve">不得低於6%</t>
  </si>
  <si>
    <t xml:space="preserve">勞退條例第14條</t>
  </si>
  <si>
    <t xml:space="preserve">二代健保補充保費率</t>
  </si>
  <si>
    <t xml:space="preserve">C18</t>
  </si>
  <si>
    <t xml:space="preserve">個人與投保單位適用</t>
  </si>
  <si>
    <t xml:space="preserve">健保法第31、34條</t>
  </si>
  <si>
    <t xml:space="preserve">月計薪時數（時薪換算）</t>
  </si>
  <si>
    <t xml:space="preserve">C19</t>
  </si>
  <si>
    <t xml:space="preserve">時薪＝月薪資總額÷240（=30日×8小時）</t>
  </si>
  <si>
    <t xml:space="preserve">勞基法施行細則</t>
  </si>
  <si>
    <t xml:space="preserve">年資／特休 計算基準日</t>
  </si>
  <si>
    <t xml:space="preserve">C20</t>
  </si>
  <si>
    <t xml:space="preserve">通常設為週年制之年度結算日或當月1日</t>
  </si>
  <si>
    <t xml:space="preserve">薪資扣繳起扣標準（0扶養）</t>
  </si>
  <si>
    <t xml:space="preserve">C21</t>
  </si>
  <si>
    <t xml:space="preserve">查表法起扣點；獎金等非每月給付未達此數免扣繳</t>
  </si>
  <si>
    <t xml:space="preserve">財政部稅務入口網（115年度為90,501元）</t>
  </si>
  <si>
    <t xml:space="preserve">每名配偶/扶養親屬月提高額</t>
  </si>
  <si>
    <t xml:space="preserve">C22</t>
  </si>
  <si>
    <t xml:space="preserve">查表起扣點(n人)≒90,501＋n×8,417（115年免稅額101,000÷12，估算）</t>
  </si>
  <si>
    <t xml:space="preserve">所得稅法第17條、財政部115年度公告</t>
  </si>
  <si>
    <t xml:space="preserve">固定5%扣繳率（月薪5%法／獎金）</t>
  </si>
  <si>
    <t xml:space="preserve">C23</t>
  </si>
  <si>
    <t xml:space="preserve">居住者按月擇用5%法、及非每月給付（年終/三節）均適用</t>
  </si>
  <si>
    <t xml:space="preserve">每月應扣繳稅額免扣上限</t>
  </si>
  <si>
    <t xml:space="preserve">C24</t>
  </si>
  <si>
    <t xml:space="preserve">固定5%法：ROUND(月薪×5%)≤2,000免予扣繳</t>
  </si>
  <si>
    <t xml:space="preserve">各類所得扣繳率標準第13條</t>
  </si>
  <si>
    <t xml:space="preserve">依勞基法第38條；以 DATEDIF 月數查表（週年制）</t>
  </si>
  <si>
    <t xml:space="preserve">非居住者全月薪資門檻</t>
  </si>
  <si>
    <t xml:space="preserve">C25</t>
  </si>
  <si>
    <t xml:space="preserve">基本工資×1.5（115年＝44,250）</t>
  </si>
  <si>
    <t xml:space="preserve">非居住者扣繳率（≤門檻）</t>
  </si>
  <si>
    <t xml:space="preserve">C26</t>
  </si>
  <si>
    <t xml:space="preserve">在台未滿183天者</t>
  </si>
  <si>
    <t xml:space="preserve">非居住者扣繳率（&gt;門檻）</t>
  </si>
  <si>
    <t xml:space="preserve">C27</t>
  </si>
  <si>
    <t xml:space="preserve">伙食費免稅額（月）</t>
  </si>
  <si>
    <t xml:space="preserve">C28</t>
  </si>
  <si>
    <t xml:space="preserve">免稅額內不計應稅所得，仍屬工資、計入投保級距</t>
  </si>
  <si>
    <t xml:space="preserve">財政部公告（114年1月起由2,400調為3,000）</t>
  </si>
  <si>
    <r>
      <rPr>
        <b val="true"/>
        <sz val="14"/>
        <color rgb="FFFFFFFF"/>
        <rFont val="Microsoft JhengHei"/>
        <family val="0"/>
        <charset val="1"/>
      </rPr>
      <t xml:space="preserve">115</t>
    </r>
    <r>
      <rPr>
        <b val="true"/>
        <sz val="14"/>
        <color rgb="FFFFFFFF"/>
        <rFont val="Noto Sans CJK SC"/>
        <family val="2"/>
      </rPr>
      <t xml:space="preserve">年 勞工保險投保薪資分級表（全時受僱勞工，共</t>
    </r>
    <r>
      <rPr>
        <b val="true"/>
        <sz val="14"/>
        <color rgb="FFFFFFFF"/>
        <rFont val="Microsoft JhengHei"/>
        <family val="0"/>
        <charset val="1"/>
      </rPr>
      <t xml:space="preserve">11</t>
    </r>
    <r>
      <rPr>
        <b val="true"/>
        <sz val="14"/>
        <color rgb="FFFFFFFF"/>
        <rFont val="Noto Sans CJK SC"/>
        <family val="2"/>
      </rPr>
      <t xml:space="preserve">級）</t>
    </r>
  </si>
  <si>
    <t xml:space="preserve">資料來源：勞動部114.11.21勞動保2字第1140091863號令修正發布，自115.1.1施行。下載：https://www.bli.gov.tw/0005475.html</t>
  </si>
  <si>
    <t xml:space="preserve">投保等級</t>
  </si>
  <si>
    <t xml:space="preserve">月薪資總額下限</t>
  </si>
  <si>
    <t xml:space="preserve">月薪資總額上限</t>
  </si>
  <si>
    <t xml:space="preserve">月投保金額（級距）</t>
  </si>
  <si>
    <r>
      <rPr>
        <sz val="10"/>
        <color rgb="FF000000"/>
        <rFont val="Microsoft JhengHei"/>
        <family val="0"/>
        <charset val="1"/>
      </rPr>
      <t xml:space="preserve">43,901</t>
    </r>
    <r>
      <rPr>
        <sz val="10"/>
        <color rgb="FF000000"/>
        <rFont val="Noto Sans CJK SC"/>
        <family val="2"/>
      </rPr>
      <t xml:space="preserve">以上</t>
    </r>
  </si>
  <si>
    <t xml:space="preserve">註：月薪資總額介於兩級距間者，以較高等級之投保金額申報；下限欄為本表 VLOOKUP 查表用輔助值。</t>
  </si>
  <si>
    <r>
      <rPr>
        <b val="true"/>
        <sz val="14"/>
        <color rgb="FFFFFFFF"/>
        <rFont val="Microsoft JhengHei"/>
        <family val="0"/>
        <charset val="1"/>
      </rPr>
      <t xml:space="preserve">115</t>
    </r>
    <r>
      <rPr>
        <b val="true"/>
        <sz val="14"/>
        <color rgb="FFFFFFFF"/>
        <rFont val="Noto Sans CJK SC"/>
        <family val="2"/>
      </rPr>
      <t xml:space="preserve">年 勞工職業災害保險投保薪資分級表（共</t>
    </r>
    <r>
      <rPr>
        <b val="true"/>
        <sz val="14"/>
        <color rgb="FFFFFFFF"/>
        <rFont val="Microsoft JhengHei"/>
        <family val="0"/>
        <charset val="1"/>
      </rPr>
      <t xml:space="preserve">21</t>
    </r>
    <r>
      <rPr>
        <b val="true"/>
        <sz val="14"/>
        <color rgb="FFFFFFFF"/>
        <rFont val="Noto Sans CJK SC"/>
        <family val="2"/>
      </rPr>
      <t xml:space="preserve">級，上限</t>
    </r>
    <r>
      <rPr>
        <b val="true"/>
        <sz val="14"/>
        <color rgb="FFFFFFFF"/>
        <rFont val="Microsoft JhengHei"/>
        <family val="0"/>
        <charset val="1"/>
      </rPr>
      <t xml:space="preserve">72,800</t>
    </r>
    <r>
      <rPr>
        <b val="true"/>
        <sz val="14"/>
        <color rgb="FFFFFFFF"/>
        <rFont val="Noto Sans CJK SC"/>
        <family val="2"/>
      </rPr>
      <t xml:space="preserve">）</t>
    </r>
  </si>
  <si>
    <t xml:space="preserve">資料來源：勞動部公告，自115.1.1施行（下限＝最低工資29,500）。下載：https://www.bli.gov.tw/0103450.html</t>
  </si>
  <si>
    <r>
      <rPr>
        <sz val="10"/>
        <color rgb="FF000000"/>
        <rFont val="Microsoft JhengHei"/>
        <family val="0"/>
        <charset val="1"/>
      </rPr>
      <t xml:space="preserve">69,801</t>
    </r>
    <r>
      <rPr>
        <sz val="10"/>
        <color rgb="FF000000"/>
        <rFont val="Noto Sans CJK SC"/>
        <family val="2"/>
      </rPr>
      <t xml:space="preserve">以上</t>
    </r>
  </si>
  <si>
    <r>
      <rPr>
        <b val="true"/>
        <sz val="14"/>
        <color rgb="FFFFFFFF"/>
        <rFont val="Microsoft JhengHei"/>
        <family val="0"/>
        <charset val="1"/>
      </rPr>
      <t xml:space="preserve">115</t>
    </r>
    <r>
      <rPr>
        <b val="true"/>
        <sz val="14"/>
        <color rgb="FFFFFFFF"/>
        <rFont val="Noto Sans CJK SC"/>
        <family val="2"/>
      </rPr>
      <t xml:space="preserve">年 全民健康保險投保金額分級表（共</t>
    </r>
    <r>
      <rPr>
        <b val="true"/>
        <sz val="14"/>
        <color rgb="FFFFFFFF"/>
        <rFont val="Microsoft JhengHei"/>
        <family val="0"/>
        <charset val="1"/>
      </rPr>
      <t xml:space="preserve">58</t>
    </r>
    <r>
      <rPr>
        <b val="true"/>
        <sz val="14"/>
        <color rgb="FFFFFFFF"/>
        <rFont val="Noto Sans CJK SC"/>
        <family val="2"/>
      </rPr>
      <t xml:space="preserve">級，上限</t>
    </r>
    <r>
      <rPr>
        <b val="true"/>
        <sz val="14"/>
        <color rgb="FFFFFFFF"/>
        <rFont val="Microsoft JhengHei"/>
        <family val="0"/>
        <charset val="1"/>
      </rPr>
      <t xml:space="preserve">313,000</t>
    </r>
    <r>
      <rPr>
        <b val="true"/>
        <sz val="14"/>
        <color rgb="FFFFFFFF"/>
        <rFont val="Noto Sans CJK SC"/>
        <family val="2"/>
      </rPr>
      <t xml:space="preserve">）</t>
    </r>
  </si>
  <si>
    <t xml:space="preserve">資料來源：衛福部114.12.12衛部保字第1140153424號令發布，自115.1.1施行。https://www.nhi.gov.tw/ch/cp-19421-f9533-2569-1.html</t>
  </si>
  <si>
    <r>
      <rPr>
        <sz val="10"/>
        <color rgb="FF000000"/>
        <rFont val="Microsoft JhengHei"/>
        <family val="0"/>
        <charset val="1"/>
      </rPr>
      <t xml:space="preserve">303,001</t>
    </r>
    <r>
      <rPr>
        <sz val="10"/>
        <color rgb="FF000000"/>
        <rFont val="Noto Sans CJK SC"/>
        <family val="2"/>
      </rPr>
      <t xml:space="preserve">以上</t>
    </r>
  </si>
  <si>
    <r>
      <rPr>
        <b val="true"/>
        <sz val="14"/>
        <color rgb="FFFFFFFF"/>
        <rFont val="Microsoft JhengHei"/>
        <family val="0"/>
        <charset val="1"/>
      </rPr>
      <t xml:space="preserve">115</t>
    </r>
    <r>
      <rPr>
        <b val="true"/>
        <sz val="14"/>
        <color rgb="FFFFFFFF"/>
        <rFont val="Noto Sans CJK SC"/>
        <family val="2"/>
      </rPr>
      <t xml:space="preserve">年 勞工退休金月提繳分級表（共</t>
    </r>
    <r>
      <rPr>
        <b val="true"/>
        <sz val="14"/>
        <color rgb="FFFFFFFF"/>
        <rFont val="Microsoft JhengHei"/>
        <family val="0"/>
        <charset val="1"/>
      </rPr>
      <t xml:space="preserve">62</t>
    </r>
    <r>
      <rPr>
        <b val="true"/>
        <sz val="14"/>
        <color rgb="FFFFFFFF"/>
        <rFont val="Noto Sans CJK SC"/>
        <family val="2"/>
      </rPr>
      <t xml:space="preserve">級，上限</t>
    </r>
    <r>
      <rPr>
        <b val="true"/>
        <sz val="14"/>
        <color rgb="FFFFFFFF"/>
        <rFont val="Microsoft JhengHei"/>
        <family val="0"/>
        <charset val="1"/>
      </rPr>
      <t xml:space="preserve">150,000</t>
    </r>
    <r>
      <rPr>
        <b val="true"/>
        <sz val="14"/>
        <color rgb="FFFFFFFF"/>
        <rFont val="Noto Sans CJK SC"/>
        <family val="2"/>
      </rPr>
      <t xml:space="preserve">）</t>
    </r>
  </si>
  <si>
    <t xml:space="preserve">資料來源：勞動部114.11.24勞動福3字第1140153598號令修正發布，自115.1.1施行。下載：https://www.bli.gov.tw/0012959.html</t>
  </si>
  <si>
    <r>
      <rPr>
        <sz val="10"/>
        <color rgb="FF000000"/>
        <rFont val="Microsoft JhengHei"/>
        <family val="0"/>
        <charset val="1"/>
      </rPr>
      <t xml:space="preserve">147,901</t>
    </r>
    <r>
      <rPr>
        <sz val="10"/>
        <color rgb="FF000000"/>
        <rFont val="Noto Sans CJK SC"/>
        <family val="2"/>
      </rPr>
      <t xml:space="preserve">以上</t>
    </r>
  </si>
  <si>
    <t xml:space="preserve">員工清單（主檔）—藍字輸入；月薪資總額由「薪資結構」帶入，年資、特休、投保級距自動計算</t>
  </si>
  <si>
    <t xml:space="preserve">【橘色標題欄＝人事填寫；深藍標題欄＝自動計算，勿改】月薪資總額由「薪資結構」帶入；健保眷屬數與扶養親屬數由「眷屬名冊」自動統計。新進／離職請於勞保局、健保署當日完成加退保。</t>
  </si>
  <si>
    <t xml:space="preserve">年資(月)</t>
  </si>
  <si>
    <t xml:space="preserve">本年特休(日)</t>
  </si>
  <si>
    <t xml:space="preserve">健保眷屬數
（名冊統計）</t>
  </si>
  <si>
    <t xml:space="preserve">配偶+扶養親屬數
（名冊統計）</t>
  </si>
  <si>
    <t xml:space="preserve">E001</t>
  </si>
  <si>
    <t xml:space="preserve">王小明</t>
  </si>
  <si>
    <t xml:space="preserve">資訊部</t>
  </si>
  <si>
    <t xml:space="preserve">工程師</t>
  </si>
  <si>
    <r>
      <rPr>
        <sz val="10"/>
        <color rgb="FF0000FF"/>
        <rFont val="Microsoft JhengHei"/>
        <family val="0"/>
        <charset val="1"/>
      </rPr>
      <t xml:space="preserve">CC-300 </t>
    </r>
    <r>
      <rPr>
        <sz val="10"/>
        <color rgb="FF0000FF"/>
        <rFont val="Noto Sans CJK SC"/>
        <family val="2"/>
      </rPr>
      <t xml:space="preserve">研發</t>
    </r>
  </si>
  <si>
    <t xml:space="preserve">PJ-2026A</t>
  </si>
  <si>
    <t xml:space="preserve">居住者</t>
  </si>
  <si>
    <t xml:space="preserve">固定5%</t>
  </si>
  <si>
    <t xml:space="preserve">E002</t>
  </si>
  <si>
    <t xml:space="preserve">李美華</t>
  </si>
  <si>
    <t xml:space="preserve">行政部</t>
  </si>
  <si>
    <t xml:space="preserve">行政專員</t>
  </si>
  <si>
    <r>
      <rPr>
        <sz val="10"/>
        <color rgb="FF0000FF"/>
        <rFont val="Microsoft JhengHei"/>
        <family val="0"/>
        <charset val="1"/>
      </rPr>
      <t xml:space="preserve">CC-100 </t>
    </r>
    <r>
      <rPr>
        <sz val="10"/>
        <color rgb="FF0000FF"/>
        <rFont val="Noto Sans CJK SC"/>
        <family val="2"/>
      </rPr>
      <t xml:space="preserve">管理</t>
    </r>
  </si>
  <si>
    <t xml:space="preserve">依扣繳稅額表</t>
  </si>
  <si>
    <t xml:space="preserve">E003</t>
  </si>
  <si>
    <t xml:space="preserve">張志豪</t>
  </si>
  <si>
    <t xml:space="preserve">業務部</t>
  </si>
  <si>
    <t xml:space="preserve">業務經理</t>
  </si>
  <si>
    <r>
      <rPr>
        <sz val="10"/>
        <color rgb="FF0000FF"/>
        <rFont val="Microsoft JhengHei"/>
        <family val="0"/>
        <charset val="1"/>
      </rPr>
      <t xml:space="preserve">CC-200 </t>
    </r>
    <r>
      <rPr>
        <sz val="10"/>
        <color rgb="FF0000FF"/>
        <rFont val="Noto Sans CJK SC"/>
        <family val="2"/>
      </rPr>
      <t xml:space="preserve">營運</t>
    </r>
  </si>
  <si>
    <t xml:space="preserve">PJ-2026B</t>
  </si>
  <si>
    <t xml:space="preserve">E004</t>
  </si>
  <si>
    <t xml:space="preserve">陳雅婷</t>
  </si>
  <si>
    <t xml:space="preserve">財務部</t>
  </si>
  <si>
    <t xml:space="preserve">會計</t>
  </si>
  <si>
    <t xml:space="preserve">E005</t>
  </si>
  <si>
    <t xml:space="preserve">林承翰</t>
  </si>
  <si>
    <t xml:space="preserve">資深工程師</t>
  </si>
  <si>
    <t xml:space="preserve">E006</t>
  </si>
  <si>
    <t xml:space="preserve">黃詩涵</t>
  </si>
  <si>
    <t xml:space="preserve">人資部</t>
  </si>
  <si>
    <t xml:space="preserve">人資專員</t>
  </si>
  <si>
    <t xml:space="preserve">非居住者</t>
  </si>
  <si>
    <t xml:space="preserve">E007</t>
  </si>
  <si>
    <t xml:space="preserve">吳建宏</t>
  </si>
  <si>
    <t xml:space="preserve">製造部</t>
  </si>
  <si>
    <t xml:space="preserve">作業員</t>
  </si>
  <si>
    <t xml:space="preserve">眷屬4口，自付以3口計</t>
  </si>
  <si>
    <t xml:space="preserve">E008</t>
  </si>
  <si>
    <t xml:space="preserve">蔡佩珊</t>
  </si>
  <si>
    <t xml:space="preserve">總經理室</t>
  </si>
  <si>
    <t xml:space="preserve">特助</t>
  </si>
  <si>
    <t xml:space="preserve">勞/職/退級距均達上限測試</t>
  </si>
  <si>
    <t xml:space="preserve">眷屬名冊 — 一名員工可登錄多名眷屬（一對多）</t>
  </si>
  <si>
    <t xml:space="preserve">每名眷屬一列，直接於空白列新增即可（順序不拘）。「依附健保」「報稅扶養」為兩個獨立旗標，員工清單的健保眷屬數（N）與配偶+扶養親屬數（V）將自動統計，無需手動維護。眷屬退保或不再列報扶養，將旗標改「否」或清空整列。身分證字號屬個人資料，請控管檔案存取權限。</t>
  </si>
  <si>
    <t xml:space="preserve">員工姓名
（自動）</t>
  </si>
  <si>
    <t xml:space="preserve">身分證字號
（個資）</t>
  </si>
  <si>
    <t xml:space="preserve">依附健保
→N欄</t>
  </si>
  <si>
    <t xml:space="preserve">報稅扶養
→V欄</t>
  </si>
  <si>
    <t xml:space="preserve">林佳蓉</t>
  </si>
  <si>
    <t xml:space="preserve">配偶</t>
  </si>
  <si>
    <t xml:space="preserve">是</t>
  </si>
  <si>
    <t xml:space="preserve">王淑芬</t>
  </si>
  <si>
    <t xml:space="preserve">張小寶</t>
  </si>
  <si>
    <t xml:space="preserve">子女</t>
  </si>
  <si>
    <t xml:space="preserve">張大山</t>
  </si>
  <si>
    <t xml:space="preserve">父母</t>
  </si>
  <si>
    <t xml:space="preserve">否</t>
  </si>
  <si>
    <t xml:space="preserve">陳怡君</t>
  </si>
  <si>
    <t xml:space="preserve">林小美</t>
  </si>
  <si>
    <t xml:space="preserve">林小芳</t>
  </si>
  <si>
    <t xml:space="preserve">李秀英</t>
  </si>
  <si>
    <t xml:space="preserve">吳小寶</t>
  </si>
  <si>
    <t xml:space="preserve">吳大富</t>
  </si>
  <si>
    <t xml:space="preserve">陳金枝</t>
  </si>
  <si>
    <t xml:space="preserve">蔡小寶</t>
  </si>
  <si>
    <t xml:space="preserve">薪資結構（月薪制固定工資項目）— 合計即投保級距／加班費／平均工資之計算基礎</t>
  </si>
  <si>
    <t xml:space="preserve">工資認定標準＝「勞務對價＋經常性給與」，與名稱無關（勞基法第2條）。本表各欄均屬工資，合計自動回寫員工清單。年終／三節等非經常性獎金勿列入本表（請用「獎金扣繳試算」與總表L欄）；差旅費等實報實銷代墊款非工資（於總表K欄處理並留憑證）。</t>
  </si>
  <si>
    <t xml:space="preserve">本薪
工資✓ 應稅✓</t>
  </si>
  <si>
    <t xml:space="preserve">主管加給
工資✓ 應稅✓</t>
  </si>
  <si>
    <t xml:space="preserve">職務加給
工資✓ 應稅✓</t>
  </si>
  <si>
    <t xml:space="preserve">專業/技術加給
工資✓ 應稅✓</t>
  </si>
  <si>
    <t xml:space="preserve">伙食津貼
工資✓ 3,000內免稅</t>
  </si>
  <si>
    <t xml:space="preserve">交通津貼
工資✓ 應稅✓</t>
  </si>
  <si>
    <t xml:space="preserve">全勤獎金
工資✓ 應稅✓</t>
  </si>
  <si>
    <t xml:space="preserve">其他固定津貼
工資✓ 應稅✓</t>
  </si>
  <si>
    <t xml:space="preserve">月薪資總額
（投保級距基礎）</t>
  </si>
  <si>
    <t xml:space="preserve">最低工資檢核
（≥參數C4）</t>
  </si>
  <si>
    <t xml:space="preserve">※ 全勤獎金：當月不符全勤者，請於薪資總表 W 欄（其他扣款）扣回並備註，以保留級距申報之一致性。</t>
  </si>
  <si>
    <t xml:space="preserve">所得稅扣繳對照表 — 員工免稅額申報資料與每月建議扣繳</t>
  </si>
  <si>
    <t xml:space="preserve">收件依據：「員工薪資所得受領人免稅額申報表」（到職時及每年1月收件、異動後10日內更新）；未填表者依規定按固定5%扣繳。查表起扣點為估算值（90,501＋扶養人數×8,417），薪資接近門檻者請以財政部115年度薪資所得扣繳稅額表為準。</t>
  </si>
  <si>
    <t xml:space="preserve">配偶+扶養人數</t>
  </si>
  <si>
    <t xml:space="preserve">申報表收件</t>
  </si>
  <si>
    <t xml:space="preserve">當月應稅薪資(估)</t>
  </si>
  <si>
    <t xml:space="preserve">查表起扣點(估)</t>
  </si>
  <si>
    <t xml:space="preserve">建議代扣稅額</t>
  </si>
  <si>
    <t xml:space="preserve">提醒</t>
  </si>
  <si>
    <t xml:space="preserve">※ 法源：各類所得扣繳率標準第2、13條 — 居住者可擇「查表」或「固定5%」；每月應扣繳稅額不超過2,000元者免扣；非居住者全月給付≤44,250按6%、超過按18%。</t>
  </si>
  <si>
    <t xml:space="preserve">※ 本表「當月應稅薪資(估)」＝薪資總表應發合計 − 加班費（法定標準內免稅）− 當月獎金（另按5%計）− 勞退自提（免稅）− 伙食津貼免稅額內金額（每月3,000，自「薪資結構」G欄帶入）。</t>
  </si>
  <si>
    <t xml:space="preserve">※ 請將「建議代扣稅額」轉填入薪資總表 V 欄；顯示「查115年扣繳稅額表」者，依財政部公告表按扶養人數欄查得稅額後填入。</t>
  </si>
  <si>
    <t xml:space="preserve">發薪年月：</t>
  </si>
  <si>
    <r>
      <rPr>
        <sz val="10"/>
        <color rgb="FF0000FF"/>
        <rFont val="Microsoft JhengHei"/>
        <family val="0"/>
        <charset val="1"/>
      </rPr>
      <t xml:space="preserve">115</t>
    </r>
    <r>
      <rPr>
        <sz val="10"/>
        <color rgb="FF0000FF"/>
        <rFont val="Noto Sans CJK SC"/>
        <family val="2"/>
      </rPr>
      <t xml:space="preserve">年</t>
    </r>
    <r>
      <rPr>
        <sz val="10"/>
        <color rgb="FF0000FF"/>
        <rFont val="Microsoft JhengHei"/>
        <family val="0"/>
        <charset val="1"/>
      </rPr>
      <t xml:space="preserve">01</t>
    </r>
    <r>
      <rPr>
        <sz val="10"/>
        <color rgb="FF0000FF"/>
        <rFont val="Noto Sans CJK SC"/>
        <family val="2"/>
      </rPr>
      <t xml:space="preserve">月</t>
    </r>
  </si>
  <si>
    <t xml:space="preserve">每月薪資計算總表｜橘色標題欄＝當月手動填寫（時數、獎金、稅、扣款），深藍標題欄＝自動計算勿改；儲存格藍字＝輸入值、黑字＝公式；金額均四捨五入至元</t>
  </si>
  <si>
    <t xml:space="preserve">員工資料</t>
  </si>
  <si>
    <t xml:space="preserve">加項（應發）</t>
  </si>
  <si>
    <t xml:space="preserve">減項（代扣）</t>
  </si>
  <si>
    <t xml:space="preserve">雇主負擔（公司成本）</t>
  </si>
  <si>
    <t xml:space="preserve">平日加班時數(×1.34)</t>
  </si>
  <si>
    <t xml:space="preserve">平日加班時數(×1.67)</t>
  </si>
  <si>
    <t xml:space="preserve">休息日加班(×1.34)</t>
  </si>
  <si>
    <t xml:space="preserve">休息日加班(×1.67)</t>
  </si>
  <si>
    <t xml:space="preserve">假日出勤時數(×1)</t>
  </si>
  <si>
    <t xml:space="preserve">勞保費(自付)</t>
  </si>
  <si>
    <t xml:space="preserve">健保費(自付含眷屬)</t>
  </si>
  <si>
    <t xml:space="preserve">年度累計獎金(含本月)</t>
  </si>
  <si>
    <t xml:space="preserve">勞保費(雇主)</t>
  </si>
  <si>
    <t xml:space="preserve">職保費(雇主)</t>
  </si>
  <si>
    <t xml:space="preserve">健保費(雇主)</t>
  </si>
  <si>
    <t xml:space="preserve">勞退提繳(雇主6%)</t>
  </si>
  <si>
    <t xml:space="preserve">雇主負擔合計</t>
  </si>
  <si>
    <t xml:space="preserve">雇主總成本</t>
  </si>
  <si>
    <t xml:space="preserve">合計</t>
  </si>
  <si>
    <t xml:space="preserve">投保單位（公司）二代健保補充保費試算</t>
  </si>
  <si>
    <t xml:space="preserve">註：法定費基為「當月支付薪資所得總額－受僱者投保金額總額」之差額×2.11%（健保法第34條）；本式以應發合計概算，申報請依扣繳憑單薪資總額核計。</t>
  </si>
  <si>
    <t xml:space="preserve">註：勞健保費以級距×費率×負擔比例四捨五入計算，與勞保局／健保署「分擔金額表」或有±1元差異，請以繳款單為準。加班倍率1.34/1.67為4/3、5/3之簡稱。</t>
  </si>
  <si>
    <t xml:space="preserve">一次性獎金／年終／三節 扣繳試算（二代健保補充保費＋所得稅5%）</t>
  </si>
  <si>
    <t xml:space="preserve">發放名目</t>
  </si>
  <si>
    <t xml:space="preserve">年終獎金</t>
  </si>
  <si>
    <t xml:space="preserve">發放日期</t>
  </si>
  <si>
    <t xml:space="preserve">補充保費採「年度累計制」：累計獎金超過（當月健保投保金額×4）之部分×2.11%，單次計費上限1,000萬。</t>
  </si>
  <si>
    <t xml:space="preserve">補充保費門檻(×4)</t>
  </si>
  <si>
    <t xml:space="preserve">本次發放前
年度累計獎金</t>
  </si>
  <si>
    <t xml:space="preserve">本次獎金金額</t>
  </si>
  <si>
    <t xml:space="preserve">累計後獎金</t>
  </si>
  <si>
    <t xml:space="preserve">本次計費基礎</t>
  </si>
  <si>
    <t xml:space="preserve">補充保費(2.11%)</t>
  </si>
  <si>
    <t xml:space="preserve">※ 法源：健保法第31條（補充保費2.11%）；各類所得扣繳率標準第2條（非每月給付薪資按給付額5%扣繳，每次給付未達90,501元【115年度起扣標準】免扣繳，免併入全月給付總額）。</t>
  </si>
  <si>
    <t xml:space="preserve">※ 獎金「隨當月薪資發放」：本次獎金→薪資總表L欄、累計後獎金→總表T欄（總表U欄會自動算出相同補充保費）、本表代扣所得稅加計入總表V欄。</t>
  </si>
  <si>
    <t xml:space="preserve">※ 獎金「單獨發放」：依本表實發金額出帳；扣繳稅款於次月10日前繳納，補充保費於給付時扣取、按月彙繳。</t>
  </si>
  <si>
    <t xml:space="preserve">※ 非居住者之獎金應併入當月給付總額，依44,250元門檻適用6%／18%，請另行核算後出帳。</t>
  </si>
  <si>
    <t xml:space="preserve">部門別／成本中心／專案別 人事成本彙總</t>
  </si>
  <si>
    <t xml:space="preserve">彙總期間：</t>
  </si>
  <si>
    <t xml:space="preserve">名稱欄（橘標題下藍字）請手動維護；金額由薪資總表自動彙總。「(未填寫/差異)」列＞0 表示有員工未填該分類或名稱拼字不一致。</t>
  </si>
  <si>
    <t xml:space="preserve">一、部門別</t>
  </si>
  <si>
    <t xml:space="preserve">名稱</t>
  </si>
  <si>
    <t xml:space="preserve">人數</t>
  </si>
  <si>
    <t xml:space="preserve">其中:加班費</t>
  </si>
  <si>
    <t xml:space="preserve">其中:當月獎金</t>
  </si>
  <si>
    <t xml:space="preserve">雇主負擔</t>
  </si>
  <si>
    <r>
      <rPr>
        <i val="true"/>
        <sz val="10"/>
        <rFont val="Microsoft JhengHei"/>
        <family val="0"/>
        <charset val="1"/>
      </rPr>
      <t xml:space="preserve">(</t>
    </r>
    <r>
      <rPr>
        <i val="true"/>
        <sz val="10"/>
        <rFont val="Noto Sans CJK SC"/>
        <family val="2"/>
      </rPr>
      <t xml:space="preserve">未填寫</t>
    </r>
    <r>
      <rPr>
        <i val="true"/>
        <sz val="10"/>
        <rFont val="Microsoft JhengHei"/>
        <family val="0"/>
        <charset val="1"/>
      </rPr>
      <t xml:space="preserve">/</t>
    </r>
    <r>
      <rPr>
        <i val="true"/>
        <sz val="10"/>
        <rFont val="Noto Sans CJK SC"/>
        <family val="2"/>
      </rPr>
      <t xml:space="preserve">差異</t>
    </r>
    <r>
      <rPr>
        <i val="true"/>
        <sz val="10"/>
        <rFont val="Microsoft JhengHei"/>
        <family val="0"/>
        <charset val="1"/>
      </rPr>
      <t xml:space="preserve">)</t>
    </r>
  </si>
  <si>
    <t xml:space="preserve">小計</t>
  </si>
  <si>
    <t xml:space="preserve">二、成本中心別</t>
  </si>
  <si>
    <t xml:space="preserve">三、專案別</t>
  </si>
  <si>
    <t xml:space="preserve">全公司合計（薪資總表）</t>
  </si>
  <si>
    <t xml:space="preserve">○○股份有限公司（請改為公司全名）</t>
  </si>
  <si>
    <t xml:space="preserve">員 工 薪 資 條</t>
  </si>
  <si>
    <t xml:space="preserve">製表日期</t>
  </si>
  <si>
    <t xml:space="preserve">員工編號（下拉選擇）</t>
  </si>
  <si>
    <t xml:space="preserve">本年度特休</t>
  </si>
  <si>
    <t xml:space="preserve">健保眷屬</t>
  </si>
  <si>
    <t xml:space="preserve">應發項目</t>
  </si>
  <si>
    <t xml:space="preserve">金額</t>
  </si>
  <si>
    <t xml:space="preserve">應扣項目</t>
  </si>
  <si>
    <t xml:space="preserve">勞保費（自付）</t>
  </si>
  <si>
    <t xml:space="preserve">主管／職務／專業加給</t>
  </si>
  <si>
    <t xml:space="preserve">健保費（自付，含眷屬）</t>
  </si>
  <si>
    <t xml:space="preserve">勞退自提（個人專戶）</t>
  </si>
  <si>
    <t xml:space="preserve">交通／全勤／其他固定津貼</t>
  </si>
  <si>
    <t xml:space="preserve">二代健保補充保費（獎金）</t>
  </si>
  <si>
    <t xml:space="preserve">實 發 金 額（應發－扣款）</t>
  </si>
  <si>
    <t xml:space="preserve">雇主另行提繳勞退 6%（入個人專戶，非薪資扣款）</t>
  </si>
  <si>
    <t xml:space="preserve">備註：1. 本明細依勞動基準法第23條提供工資各項目計算方式。2. 各項金額四捨五入至新臺幣元，勞健保費以投保級距計算，與繳款單或有±1元差異。3. 如對本表內容有疑義，請於發薪日起7日內向人資單位反映。4. 本表含個人資料，請妥善保管。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</si>
</sst>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"/>
    <numFmt numFmtId="167" formatCode="0.0%"/>
    <numFmt numFmtId="168" formatCode="0.00%"/>
    <numFmt numFmtId="169" formatCode="0.00"/>
    <numFmt numFmtId="170" formatCode="yyyy/mm/dd"/>
    <numFmt numFmtId="171" formatCode="0%"/>
    <numFmt numFmtId="172" formatCode="0.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Microsoft JhengHei"/>
      <family val="0"/>
      <charset val="1"/>
    </font>
    <font>
      <sz val="10"/>
      <name val="Microsoft JhengHei"/>
      <family val="0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1"/>
      <color rgb="FF1F4E78"/>
      <name val="Noto Sans CJK SC"/>
      <family val="2"/>
      <charset val="1"/>
    </font>
    <font>
      <sz val="9"/>
      <color rgb="FF7F7F7F"/>
      <name val="Noto Sans CJK SC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name val="Noto Sans CJK SC"/>
      <family val="0"/>
      <charset val="1"/>
    </font>
    <font>
      <b val="true"/>
      <sz val="14"/>
      <color rgb="FFFFFFFF"/>
      <name val="Noto Sans CJK SC"/>
      <family val="0"/>
      <charset val="1"/>
    </font>
    <font>
      <b val="true"/>
      <sz val="10"/>
      <color rgb="FFFFFFFF"/>
      <name val="Noto Sans CJK SC"/>
      <family val="0"/>
      <charset val="1"/>
    </font>
    <font>
      <b val="true"/>
      <sz val="11"/>
      <color rgb="FF1F4E78"/>
      <name val="Noto Sans CJK SC"/>
      <family val="0"/>
      <charset val="1"/>
    </font>
    <font>
      <b val="true"/>
      <sz val="10"/>
      <color rgb="FFFFFFFF"/>
      <name val="Noto Sans CJK SC"/>
      <family val="2"/>
      <charset val="1"/>
    </font>
    <font>
      <sz val="9"/>
      <color rgb="FF7F7F7F"/>
      <name val="Microsoft JhengHei"/>
      <family val="0"/>
      <charset val="1"/>
    </font>
    <font>
      <sz val="10"/>
      <color rgb="FF0000FF"/>
      <name val="Microsoft JhengHei"/>
      <family val="0"/>
      <charset val="1"/>
    </font>
    <font>
      <sz val="10"/>
      <color rgb="FF0000FF"/>
      <name val="Noto Sans CJK SC"/>
      <family val="2"/>
    </font>
    <font>
      <sz val="9"/>
      <name val="Microsoft JhengHei"/>
      <family val="0"/>
      <charset val="1"/>
    </font>
    <font>
      <sz val="9"/>
      <name val="Noto Sans CJK SC"/>
      <family val="2"/>
    </font>
    <font>
      <sz val="9"/>
      <color rgb="FF7F7F7F"/>
      <name val="Noto Sans CJK SC"/>
      <family val="2"/>
      <charset val="1"/>
    </font>
    <font>
      <sz val="10"/>
      <color rgb="FF000000"/>
      <name val="Microsoft JhengHei"/>
      <family val="0"/>
      <charset val="1"/>
    </font>
    <font>
      <sz val="9"/>
      <name val="Noto Sans CJK SC"/>
      <family val="2"/>
      <charset val="1"/>
    </font>
    <font>
      <b val="true"/>
      <sz val="14"/>
      <color rgb="FFFFFFFF"/>
      <name val="Microsoft JhengHei"/>
      <family val="0"/>
      <charset val="1"/>
    </font>
    <font>
      <b val="true"/>
      <sz val="14"/>
      <color rgb="FFFFFFFF"/>
      <name val="Noto Sans CJK SC"/>
      <family val="2"/>
    </font>
    <font>
      <sz val="10"/>
      <color rgb="FF000000"/>
      <name val="Noto Sans CJK SC"/>
      <family val="2"/>
    </font>
    <font>
      <sz val="10"/>
      <color rgb="FF0000FF"/>
      <name val="Noto Sans CJK SC"/>
      <family val="2"/>
      <charset val="1"/>
    </font>
    <font>
      <b val="true"/>
      <sz val="9"/>
      <color rgb="FFFFFFFF"/>
      <name val="Noto Sans CJK SC"/>
      <family val="0"/>
      <charset val="1"/>
    </font>
    <font>
      <sz val="10"/>
      <color rgb="FF008000"/>
      <name val="Microsoft JhengHei"/>
      <family val="0"/>
      <charset val="1"/>
    </font>
    <font>
      <b val="true"/>
      <sz val="10"/>
      <color rgb="FFC00000"/>
      <name val="Microsoft JhengHei"/>
      <family val="0"/>
      <charset val="1"/>
    </font>
    <font>
      <b val="true"/>
      <sz val="10"/>
      <color rgb="FF008000"/>
      <name val="Microsoft JhengHei"/>
      <family val="0"/>
      <charset val="1"/>
    </font>
    <font>
      <i val="true"/>
      <sz val="10"/>
      <name val="Microsoft JhengHei"/>
      <family val="0"/>
      <charset val="1"/>
    </font>
    <font>
      <i val="true"/>
      <sz val="10"/>
      <name val="Noto Sans CJK SC"/>
      <family val="2"/>
    </font>
    <font>
      <b val="true"/>
      <sz val="13"/>
      <name val="Noto Sans CJK SC"/>
      <family val="2"/>
      <charset val="1"/>
    </font>
    <font>
      <b val="true"/>
      <sz val="16"/>
      <color rgb="FF1F4E78"/>
      <name val="Noto Sans CJK SC"/>
      <family val="2"/>
      <charset val="1"/>
    </font>
    <font>
      <b val="true"/>
      <sz val="12"/>
      <name val="Noto Sans CJK SC"/>
      <family val="2"/>
      <charset val="1"/>
    </font>
    <font>
      <b val="true"/>
      <sz val="14"/>
      <color rgb="FFC00000"/>
      <name val="Microsoft JhengHe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44546A"/>
      </patternFill>
    </fill>
    <fill>
      <patternFill patternType="solid">
        <fgColor rgb="FFED7D31"/>
        <bgColor rgb="FFFF8080"/>
      </patternFill>
    </fill>
    <fill>
      <patternFill patternType="solid">
        <fgColor rgb="FF44546A"/>
        <bgColor rgb="FF1F4E78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CE4EC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FCE4EC"/>
        <bgColor rgb="FFFCE4D6"/>
      </patternFill>
    </fill>
    <fill>
      <patternFill patternType="solid">
        <fgColor rgb="FFFFF2CC"/>
        <bgColor rgb="FFFCE4D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2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BFBFBF"/>
      <rgbColor rgb="FF7F7F7F"/>
      <rgbColor rgb="FF5B9BD5"/>
      <rgbColor rgb="FF954F72"/>
      <rgbColor rgb="FFFFF2CC"/>
      <rgbColor rgb="FFFCE4EC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EFDA"/>
      <rgbColor rgb="FFFCE4D6"/>
      <rgbColor rgb="FF99CCFF"/>
      <rgbColor rgb="FFFF99CC"/>
      <rgbColor rgb="FFCC99FF"/>
      <rgbColor rgb="FFFFC7CE"/>
      <rgbColor rgb="FF2E75B6"/>
      <rgbColor rgb="FF33CCCC"/>
      <rgbColor rgb="FF99CC00"/>
      <rgbColor rgb="FFFFC000"/>
      <rgbColor rgb="FFFF9900"/>
      <rgbColor rgb="FFED7D31"/>
      <rgbColor rgb="FF44546A"/>
      <rgbColor rgb="FF70AD47"/>
      <rgbColor rgb="FF003366"/>
      <rgbColor rgb="FF00B050"/>
      <rgbColor rgb="FF003300"/>
      <rgbColor rgb="FF333300"/>
      <rgbColor rgb="FF843C0C"/>
      <rgbColor rgb="FF7030A0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6" min="2" style="1" width="2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/>
      <c r="B2" s="4"/>
      <c r="C2" s="4"/>
      <c r="D2" s="4"/>
      <c r="E2" s="4"/>
      <c r="F2" s="4"/>
    </row>
    <row r="3" customFormat="false" ht="29.25" hidden="false" customHeight="true" outlineLevel="0" collapsed="false">
      <c r="A3" s="5" t="s">
        <v>1</v>
      </c>
      <c r="B3" s="6" t="s">
        <v>2</v>
      </c>
      <c r="C3" s="6"/>
      <c r="D3" s="6"/>
      <c r="E3" s="6"/>
      <c r="F3" s="6"/>
    </row>
    <row r="4" customFormat="false" ht="15" hidden="false" customHeight="true" outlineLevel="0" collapsed="false">
      <c r="A4" s="3"/>
      <c r="B4" s="4"/>
      <c r="C4" s="4"/>
      <c r="D4" s="4"/>
      <c r="E4" s="4"/>
      <c r="F4" s="4"/>
    </row>
    <row r="5" customFormat="false" ht="15" hidden="false" customHeight="true" outlineLevel="0" collapsed="false">
      <c r="A5" s="7" t="s">
        <v>3</v>
      </c>
      <c r="B5" s="8" t="s">
        <v>4</v>
      </c>
      <c r="C5" s="8"/>
      <c r="D5" s="8"/>
      <c r="E5" s="8"/>
      <c r="F5" s="8"/>
    </row>
    <row r="6" customFormat="false" ht="15" hidden="false" customHeight="true" outlineLevel="0" collapsed="false">
      <c r="A6" s="3" t="s">
        <v>5</v>
      </c>
      <c r="B6" s="6" t="s">
        <v>6</v>
      </c>
      <c r="C6" s="6"/>
      <c r="D6" s="6"/>
      <c r="E6" s="6"/>
      <c r="F6" s="6"/>
    </row>
    <row r="7" customFormat="false" ht="15" hidden="false" customHeight="true" outlineLevel="0" collapsed="false">
      <c r="A7" s="3" t="s">
        <v>7</v>
      </c>
      <c r="B7" s="6" t="s">
        <v>8</v>
      </c>
      <c r="C7" s="6"/>
      <c r="D7" s="6"/>
      <c r="E7" s="6"/>
      <c r="F7" s="6"/>
    </row>
    <row r="8" customFormat="false" ht="15" hidden="false" customHeight="true" outlineLevel="0" collapsed="false">
      <c r="A8" s="3" t="s">
        <v>9</v>
      </c>
      <c r="B8" s="4" t="s">
        <v>10</v>
      </c>
      <c r="C8" s="4"/>
      <c r="D8" s="4"/>
      <c r="E8" s="4"/>
      <c r="F8" s="4"/>
    </row>
    <row r="9" customFormat="false" ht="15" hidden="false" customHeight="true" outlineLevel="0" collapsed="false">
      <c r="A9" s="3" t="s">
        <v>11</v>
      </c>
      <c r="B9" s="6" t="s">
        <v>12</v>
      </c>
      <c r="C9" s="6"/>
      <c r="D9" s="6"/>
      <c r="E9" s="6"/>
      <c r="F9" s="6"/>
    </row>
    <row r="10" customFormat="false" ht="15" hidden="false" customHeight="true" outlineLevel="0" collapsed="false">
      <c r="A10" s="3" t="s">
        <v>13</v>
      </c>
      <c r="B10" s="6" t="s">
        <v>14</v>
      </c>
      <c r="C10" s="6"/>
      <c r="D10" s="6"/>
      <c r="E10" s="6"/>
      <c r="F10" s="6"/>
    </row>
    <row r="11" customFormat="false" ht="15" hidden="false" customHeight="true" outlineLevel="0" collapsed="false">
      <c r="A11" s="3" t="s">
        <v>15</v>
      </c>
      <c r="B11" s="6" t="s">
        <v>16</v>
      </c>
      <c r="C11" s="6"/>
      <c r="D11" s="6"/>
      <c r="E11" s="6"/>
      <c r="F11" s="6"/>
    </row>
    <row r="12" customFormat="false" ht="15" hidden="false" customHeight="true" outlineLevel="0" collapsed="false">
      <c r="A12" s="3" t="s">
        <v>17</v>
      </c>
      <c r="B12" s="6" t="s">
        <v>18</v>
      </c>
      <c r="C12" s="6"/>
      <c r="D12" s="6"/>
      <c r="E12" s="6"/>
      <c r="F12" s="6"/>
    </row>
    <row r="13" customFormat="false" ht="15" hidden="false" customHeight="true" outlineLevel="0" collapsed="false">
      <c r="A13" s="7" t="s">
        <v>19</v>
      </c>
      <c r="B13" s="9"/>
      <c r="C13" s="9"/>
      <c r="D13" s="9"/>
      <c r="E13" s="9"/>
      <c r="F13" s="9"/>
    </row>
    <row r="14" customFormat="false" ht="15" hidden="false" customHeight="true" outlineLevel="0" collapsed="false">
      <c r="A14" s="5" t="s">
        <v>20</v>
      </c>
      <c r="B14" s="6" t="s">
        <v>21</v>
      </c>
      <c r="C14" s="6"/>
      <c r="D14" s="6"/>
      <c r="E14" s="6"/>
      <c r="F14" s="6"/>
    </row>
    <row r="15" customFormat="false" ht="15" hidden="false" customHeight="true" outlineLevel="0" collapsed="false">
      <c r="A15" s="5" t="s">
        <v>22</v>
      </c>
      <c r="B15" s="6" t="s">
        <v>23</v>
      </c>
      <c r="C15" s="6"/>
      <c r="D15" s="6"/>
      <c r="E15" s="6"/>
      <c r="F15" s="6"/>
    </row>
    <row r="16" customFormat="false" ht="15" hidden="false" customHeight="true" outlineLevel="0" collapsed="false">
      <c r="A16" s="5" t="s">
        <v>24</v>
      </c>
      <c r="B16" s="6" t="s">
        <v>25</v>
      </c>
      <c r="C16" s="6"/>
      <c r="D16" s="6"/>
      <c r="E16" s="6"/>
      <c r="F16" s="6"/>
    </row>
    <row r="17" customFormat="false" ht="15" hidden="false" customHeight="true" outlineLevel="0" collapsed="false">
      <c r="A17" s="5" t="s">
        <v>26</v>
      </c>
      <c r="B17" s="6" t="s">
        <v>27</v>
      </c>
      <c r="C17" s="6"/>
      <c r="D17" s="6"/>
      <c r="E17" s="6"/>
      <c r="F17" s="6"/>
    </row>
    <row r="18" customFormat="false" ht="15" hidden="false" customHeight="true" outlineLevel="0" collapsed="false">
      <c r="A18" s="5" t="s">
        <v>28</v>
      </c>
      <c r="B18" s="6" t="s">
        <v>29</v>
      </c>
      <c r="C18" s="6"/>
      <c r="D18" s="6"/>
      <c r="E18" s="6"/>
      <c r="F18" s="6"/>
    </row>
    <row r="19" customFormat="false" ht="15" hidden="false" customHeight="true" outlineLevel="0" collapsed="false">
      <c r="A19" s="5" t="s">
        <v>30</v>
      </c>
      <c r="B19" s="6" t="s">
        <v>31</v>
      </c>
      <c r="C19" s="6"/>
      <c r="D19" s="6"/>
      <c r="E19" s="6"/>
      <c r="F19" s="6"/>
    </row>
    <row r="20" customFormat="false" ht="15" hidden="false" customHeight="true" outlineLevel="0" collapsed="false">
      <c r="A20" s="3"/>
      <c r="B20" s="4"/>
      <c r="C20" s="4"/>
      <c r="D20" s="4"/>
      <c r="E20" s="4"/>
      <c r="F20" s="4"/>
    </row>
    <row r="21" customFormat="false" ht="15" hidden="false" customHeight="true" outlineLevel="0" collapsed="false">
      <c r="A21" s="7" t="s">
        <v>32</v>
      </c>
      <c r="B21" s="9"/>
      <c r="C21" s="9"/>
      <c r="D21" s="9"/>
      <c r="E21" s="9"/>
      <c r="F21" s="9"/>
    </row>
    <row r="22" customFormat="false" ht="15" hidden="false" customHeight="true" outlineLevel="0" collapsed="false">
      <c r="A22" s="5" t="s">
        <v>33</v>
      </c>
      <c r="B22" s="6" t="s">
        <v>34</v>
      </c>
      <c r="C22" s="6"/>
      <c r="D22" s="6"/>
      <c r="E22" s="6"/>
      <c r="F22" s="6"/>
    </row>
    <row r="23" customFormat="false" ht="15" hidden="false" customHeight="true" outlineLevel="0" collapsed="false">
      <c r="A23" s="5" t="s">
        <v>35</v>
      </c>
      <c r="B23" s="6" t="s">
        <v>36</v>
      </c>
      <c r="C23" s="6"/>
      <c r="D23" s="6"/>
      <c r="E23" s="6"/>
      <c r="F23" s="6"/>
    </row>
    <row r="24" customFormat="false" ht="15" hidden="false" customHeight="true" outlineLevel="0" collapsed="false">
      <c r="A24" s="5" t="s">
        <v>37</v>
      </c>
      <c r="B24" s="6" t="s">
        <v>38</v>
      </c>
      <c r="C24" s="6"/>
      <c r="D24" s="6"/>
      <c r="E24" s="6"/>
      <c r="F24" s="6"/>
    </row>
    <row r="25" customFormat="false" ht="15" hidden="false" customHeight="true" outlineLevel="0" collapsed="false">
      <c r="A25" s="5" t="s">
        <v>39</v>
      </c>
      <c r="B25" s="6" t="s">
        <v>40</v>
      </c>
      <c r="C25" s="6"/>
      <c r="D25" s="6"/>
      <c r="E25" s="6"/>
      <c r="F25" s="6"/>
    </row>
    <row r="26" customFormat="false" ht="15" hidden="false" customHeight="true" outlineLevel="0" collapsed="false">
      <c r="A26" s="10" t="s">
        <v>41</v>
      </c>
      <c r="B26" s="11" t="s">
        <v>42</v>
      </c>
      <c r="C26" s="11"/>
      <c r="D26" s="11"/>
      <c r="E26" s="11"/>
      <c r="F26" s="11"/>
    </row>
    <row r="27" customFormat="false" ht="29.25" hidden="false" customHeight="true" outlineLevel="0" collapsed="false">
      <c r="A27" s="5" t="s">
        <v>43</v>
      </c>
      <c r="B27" s="6" t="s">
        <v>44</v>
      </c>
      <c r="C27" s="6"/>
      <c r="D27" s="6"/>
      <c r="E27" s="6"/>
      <c r="F27" s="6"/>
    </row>
    <row r="28" customFormat="false" ht="29.25" hidden="false" customHeight="true" outlineLevel="0" collapsed="false">
      <c r="A28" s="5" t="s">
        <v>45</v>
      </c>
      <c r="B28" s="4" t="s">
        <v>46</v>
      </c>
      <c r="C28" s="4"/>
      <c r="D28" s="4"/>
      <c r="E28" s="4"/>
      <c r="F28" s="4"/>
    </row>
    <row r="29" customFormat="false" ht="29.25" hidden="false" customHeight="true" outlineLevel="0" collapsed="false">
      <c r="A29" s="5" t="s">
        <v>47</v>
      </c>
      <c r="B29" s="6" t="s">
        <v>48</v>
      </c>
      <c r="C29" s="6"/>
      <c r="D29" s="6"/>
      <c r="E29" s="6"/>
      <c r="F29" s="6"/>
    </row>
  </sheetData>
  <mergeCells count="29"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D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86"/>
  </cols>
  <sheetData>
    <row r="1" customFormat="false" ht="25.5" hidden="false" customHeight="true" outlineLevel="0" collapsed="false">
      <c r="A1" s="12" t="s">
        <v>49</v>
      </c>
      <c r="B1" s="12"/>
      <c r="C1" s="12"/>
      <c r="D1" s="12"/>
    </row>
    <row r="2" customFormat="false" ht="15" hidden="false" customHeight="true" outlineLevel="0" collapsed="false">
      <c r="A2" s="13" t="s">
        <v>50</v>
      </c>
      <c r="B2" s="13"/>
      <c r="C2" s="13"/>
      <c r="D2" s="13"/>
    </row>
    <row r="4" customFormat="false" ht="15" hidden="false" customHeight="true" outlineLevel="0" collapsed="false">
      <c r="A4" s="14" t="s">
        <v>51</v>
      </c>
      <c r="B4" s="14"/>
      <c r="C4" s="15" t="s">
        <v>52</v>
      </c>
      <c r="D4" s="15"/>
    </row>
    <row r="6" customFormat="false" ht="15" hidden="false" customHeight="false" outlineLevel="0" collapsed="false">
      <c r="A6" s="16" t="s">
        <v>53</v>
      </c>
      <c r="B6" s="16"/>
      <c r="C6" s="16"/>
      <c r="D6" s="16"/>
    </row>
    <row r="7" customFormat="false" ht="15" hidden="false" customHeight="false" outlineLevel="0" collapsed="false">
      <c r="A7" s="17" t="s">
        <v>54</v>
      </c>
      <c r="B7" s="17" t="s">
        <v>55</v>
      </c>
      <c r="C7" s="17" t="s">
        <v>56</v>
      </c>
      <c r="D7" s="17" t="s">
        <v>57</v>
      </c>
    </row>
    <row r="8" customFormat="false" ht="15" hidden="false" customHeight="false" outlineLevel="0" collapsed="false">
      <c r="A8" s="18" t="s">
        <v>58</v>
      </c>
      <c r="B8" s="19" t="s">
        <v>59</v>
      </c>
      <c r="C8" s="20" t="s">
        <v>60</v>
      </c>
      <c r="D8" s="19" t="s">
        <v>61</v>
      </c>
    </row>
    <row r="9" customFormat="false" ht="15" hidden="false" customHeight="false" outlineLevel="0" collapsed="false">
      <c r="A9" s="18" t="s">
        <v>62</v>
      </c>
      <c r="B9" s="19" t="s">
        <v>63</v>
      </c>
      <c r="C9" s="20" t="s">
        <v>60</v>
      </c>
      <c r="D9" s="19" t="s">
        <v>64</v>
      </c>
    </row>
    <row r="10" customFormat="false" ht="15" hidden="false" customHeight="false" outlineLevel="0" collapsed="false">
      <c r="A10" s="18" t="s">
        <v>65</v>
      </c>
      <c r="B10" s="19" t="s">
        <v>66</v>
      </c>
      <c r="C10" s="20" t="s">
        <v>60</v>
      </c>
      <c r="D10" s="19" t="s">
        <v>67</v>
      </c>
    </row>
    <row r="11" customFormat="false" ht="15" hidden="false" customHeight="false" outlineLevel="0" collapsed="false">
      <c r="A11" s="18" t="s">
        <v>68</v>
      </c>
      <c r="B11" s="19" t="s">
        <v>69</v>
      </c>
      <c r="C11" s="20" t="s">
        <v>60</v>
      </c>
      <c r="D11" s="19" t="s">
        <v>70</v>
      </c>
    </row>
    <row r="12" customFormat="false" ht="15" hidden="false" customHeight="false" outlineLevel="0" collapsed="false">
      <c r="A12" s="18" t="s">
        <v>71</v>
      </c>
      <c r="B12" s="19" t="s">
        <v>72</v>
      </c>
      <c r="C12" s="20" t="s">
        <v>60</v>
      </c>
      <c r="D12" s="19" t="s">
        <v>73</v>
      </c>
    </row>
    <row r="13" customFormat="false" ht="15" hidden="false" customHeight="false" outlineLevel="0" collapsed="false">
      <c r="A13" s="18" t="s">
        <v>74</v>
      </c>
      <c r="B13" s="19" t="s">
        <v>75</v>
      </c>
      <c r="C13" s="21" t="s">
        <v>76</v>
      </c>
      <c r="D13" s="19" t="s">
        <v>77</v>
      </c>
    </row>
    <row r="14" customFormat="false" ht="15" hidden="false" customHeight="false" outlineLevel="0" collapsed="false">
      <c r="A14" s="18" t="s">
        <v>78</v>
      </c>
      <c r="B14" s="19" t="s">
        <v>79</v>
      </c>
      <c r="C14" s="21" t="s">
        <v>76</v>
      </c>
      <c r="D14" s="19" t="s">
        <v>80</v>
      </c>
    </row>
    <row r="15" customFormat="false" ht="15" hidden="false" customHeight="false" outlineLevel="0" collapsed="false">
      <c r="A15" s="18" t="s">
        <v>81</v>
      </c>
      <c r="B15" s="19" t="s">
        <v>82</v>
      </c>
      <c r="C15" s="21" t="s">
        <v>76</v>
      </c>
      <c r="D15" s="19" t="s">
        <v>83</v>
      </c>
    </row>
    <row r="16" customFormat="false" ht="15" hidden="false" customHeight="false" outlineLevel="0" collapsed="false">
      <c r="A16" s="18" t="s">
        <v>84</v>
      </c>
      <c r="B16" s="19" t="s">
        <v>85</v>
      </c>
      <c r="C16" s="21" t="s">
        <v>76</v>
      </c>
      <c r="D16" s="19" t="s">
        <v>86</v>
      </c>
    </row>
    <row r="17" customFormat="false" ht="15" hidden="false" customHeight="false" outlineLevel="0" collapsed="false">
      <c r="A17" s="18" t="s">
        <v>87</v>
      </c>
      <c r="B17" s="19" t="s">
        <v>88</v>
      </c>
      <c r="C17" s="21" t="s">
        <v>76</v>
      </c>
      <c r="D17" s="19" t="s">
        <v>89</v>
      </c>
    </row>
    <row r="18" customFormat="false" ht="15" hidden="false" customHeight="false" outlineLevel="0" collapsed="false">
      <c r="A18" s="18" t="s">
        <v>90</v>
      </c>
      <c r="B18" s="19" t="s">
        <v>91</v>
      </c>
      <c r="C18" s="21" t="s">
        <v>76</v>
      </c>
      <c r="D18" s="19" t="s">
        <v>92</v>
      </c>
    </row>
    <row r="19" customFormat="false" ht="15" hidden="false" customHeight="false" outlineLevel="0" collapsed="false">
      <c r="A19" s="18" t="s">
        <v>93</v>
      </c>
      <c r="B19" s="19" t="s">
        <v>94</v>
      </c>
      <c r="C19" s="21" t="s">
        <v>76</v>
      </c>
      <c r="D19" s="19" t="s">
        <v>95</v>
      </c>
    </row>
    <row r="20" customFormat="false" ht="15" hidden="false" customHeight="false" outlineLevel="0" collapsed="false">
      <c r="A20" s="18" t="s">
        <v>96</v>
      </c>
      <c r="B20" s="19" t="s">
        <v>97</v>
      </c>
      <c r="C20" s="21" t="s">
        <v>76</v>
      </c>
      <c r="D20" s="19" t="s">
        <v>98</v>
      </c>
    </row>
    <row r="21" customFormat="false" ht="15" hidden="false" customHeight="false" outlineLevel="0" collapsed="false">
      <c r="A21" s="18" t="s">
        <v>99</v>
      </c>
      <c r="B21" s="19" t="s">
        <v>100</v>
      </c>
      <c r="C21" s="21" t="s">
        <v>76</v>
      </c>
      <c r="D21" s="19" t="s">
        <v>101</v>
      </c>
    </row>
    <row r="22" customFormat="false" ht="15" hidden="false" customHeight="false" outlineLevel="0" collapsed="false">
      <c r="A22" s="18" t="s">
        <v>102</v>
      </c>
      <c r="B22" s="19" t="s">
        <v>103</v>
      </c>
      <c r="C22" s="21" t="s">
        <v>76</v>
      </c>
      <c r="D22" s="19" t="s">
        <v>104</v>
      </c>
    </row>
    <row r="23" customFormat="false" ht="15" hidden="false" customHeight="false" outlineLevel="0" collapsed="false">
      <c r="A23" s="18" t="s">
        <v>105</v>
      </c>
      <c r="B23" s="19" t="s">
        <v>106</v>
      </c>
      <c r="C23" s="20" t="s">
        <v>60</v>
      </c>
      <c r="D23" s="19" t="s">
        <v>107</v>
      </c>
    </row>
    <row r="24" customFormat="false" ht="15" hidden="false" customHeight="false" outlineLevel="0" collapsed="false">
      <c r="A24" s="18" t="s">
        <v>108</v>
      </c>
      <c r="B24" s="19" t="s">
        <v>109</v>
      </c>
      <c r="C24" s="20" t="s">
        <v>60</v>
      </c>
      <c r="D24" s="19" t="s">
        <v>110</v>
      </c>
    </row>
    <row r="25" customFormat="false" ht="15" hidden="false" customHeight="false" outlineLevel="0" collapsed="false">
      <c r="A25" s="18" t="s">
        <v>111</v>
      </c>
      <c r="B25" s="19" t="s">
        <v>112</v>
      </c>
      <c r="C25" s="20" t="s">
        <v>60</v>
      </c>
      <c r="D25" s="19" t="s">
        <v>113</v>
      </c>
    </row>
    <row r="26" customFormat="false" ht="15" hidden="false" customHeight="false" outlineLevel="0" collapsed="false">
      <c r="A26" s="18" t="s">
        <v>114</v>
      </c>
      <c r="B26" s="19" t="s">
        <v>115</v>
      </c>
      <c r="C26" s="20" t="s">
        <v>60</v>
      </c>
      <c r="D26" s="19" t="s">
        <v>116</v>
      </c>
    </row>
    <row r="27" customFormat="false" ht="15" hidden="false" customHeight="false" outlineLevel="0" collapsed="false">
      <c r="A27" s="18" t="s">
        <v>117</v>
      </c>
      <c r="B27" s="19" t="s">
        <v>118</v>
      </c>
      <c r="C27" s="20" t="s">
        <v>60</v>
      </c>
      <c r="D27" s="19" t="s">
        <v>119</v>
      </c>
    </row>
    <row r="28" customFormat="false" ht="15" hidden="false" customHeight="false" outlineLevel="0" collapsed="false">
      <c r="A28" s="18" t="s">
        <v>120</v>
      </c>
      <c r="B28" s="19" t="s">
        <v>121</v>
      </c>
      <c r="C28" s="20" t="s">
        <v>60</v>
      </c>
      <c r="D28" s="19" t="s">
        <v>122</v>
      </c>
    </row>
    <row r="29" customFormat="false" ht="15" hidden="false" customHeight="false" outlineLevel="0" collapsed="false">
      <c r="A29" s="18" t="s">
        <v>123</v>
      </c>
      <c r="B29" s="19" t="s">
        <v>124</v>
      </c>
      <c r="C29" s="21" t="s">
        <v>76</v>
      </c>
      <c r="D29" s="19" t="s">
        <v>125</v>
      </c>
    </row>
    <row r="30" customFormat="false" ht="15" hidden="false" customHeight="false" outlineLevel="0" collapsed="false">
      <c r="A30" s="18" t="s">
        <v>126</v>
      </c>
      <c r="B30" s="19" t="s">
        <v>127</v>
      </c>
      <c r="C30" s="20" t="s">
        <v>60</v>
      </c>
      <c r="D30" s="19" t="s">
        <v>128</v>
      </c>
    </row>
    <row r="32" customFormat="false" ht="15" hidden="false" customHeight="false" outlineLevel="0" collapsed="false">
      <c r="A32" s="16" t="s">
        <v>129</v>
      </c>
      <c r="B32" s="16"/>
      <c r="C32" s="16"/>
      <c r="D32" s="16"/>
    </row>
    <row r="33" customFormat="false" ht="15" hidden="false" customHeight="false" outlineLevel="0" collapsed="false">
      <c r="A33" s="17" t="s">
        <v>54</v>
      </c>
      <c r="B33" s="17" t="s">
        <v>55</v>
      </c>
      <c r="C33" s="17" t="s">
        <v>56</v>
      </c>
      <c r="D33" s="17" t="s">
        <v>57</v>
      </c>
    </row>
    <row r="34" customFormat="false" ht="15" hidden="false" customHeight="false" outlineLevel="0" collapsed="false">
      <c r="A34" s="18" t="s">
        <v>58</v>
      </c>
      <c r="B34" s="19" t="s">
        <v>59</v>
      </c>
      <c r="C34" s="20" t="s">
        <v>60</v>
      </c>
      <c r="D34" s="19" t="s">
        <v>130</v>
      </c>
    </row>
    <row r="35" customFormat="false" ht="15" hidden="false" customHeight="false" outlineLevel="0" collapsed="false">
      <c r="A35" s="18" t="s">
        <v>62</v>
      </c>
      <c r="B35" s="19" t="s">
        <v>131</v>
      </c>
      <c r="C35" s="21" t="s">
        <v>76</v>
      </c>
      <c r="D35" s="19" t="s">
        <v>132</v>
      </c>
    </row>
    <row r="36" customFormat="false" ht="15" hidden="false" customHeight="false" outlineLevel="0" collapsed="false">
      <c r="A36" s="18" t="s">
        <v>65</v>
      </c>
      <c r="B36" s="19" t="s">
        <v>133</v>
      </c>
      <c r="C36" s="20" t="s">
        <v>60</v>
      </c>
      <c r="D36" s="19" t="s">
        <v>134</v>
      </c>
    </row>
    <row r="37" customFormat="false" ht="15" hidden="false" customHeight="false" outlineLevel="0" collapsed="false">
      <c r="A37" s="18" t="s">
        <v>68</v>
      </c>
      <c r="B37" s="19" t="s">
        <v>135</v>
      </c>
      <c r="C37" s="20" t="s">
        <v>60</v>
      </c>
      <c r="D37" s="19" t="s">
        <v>136</v>
      </c>
    </row>
    <row r="38" customFormat="false" ht="15" hidden="false" customHeight="false" outlineLevel="0" collapsed="false">
      <c r="A38" s="18" t="s">
        <v>71</v>
      </c>
      <c r="B38" s="19" t="s">
        <v>137</v>
      </c>
      <c r="C38" s="20" t="s">
        <v>60</v>
      </c>
      <c r="D38" s="19" t="s">
        <v>138</v>
      </c>
    </row>
    <row r="39" customFormat="false" ht="15" hidden="false" customHeight="false" outlineLevel="0" collapsed="false">
      <c r="A39" s="18" t="s">
        <v>74</v>
      </c>
      <c r="B39" s="19" t="s">
        <v>139</v>
      </c>
      <c r="C39" s="20" t="s">
        <v>60</v>
      </c>
      <c r="D39" s="19" t="s">
        <v>140</v>
      </c>
    </row>
    <row r="40" customFormat="false" ht="15" hidden="false" customHeight="false" outlineLevel="0" collapsed="false">
      <c r="A40" s="18" t="s">
        <v>78</v>
      </c>
      <c r="B40" s="19" t="s">
        <v>141</v>
      </c>
      <c r="C40" s="20" t="s">
        <v>60</v>
      </c>
      <c r="D40" s="19" t="s">
        <v>142</v>
      </c>
    </row>
    <row r="41" customFormat="false" ht="15" hidden="false" customHeight="false" outlineLevel="0" collapsed="false">
      <c r="A41" s="18" t="s">
        <v>81</v>
      </c>
      <c r="B41" s="19" t="s">
        <v>143</v>
      </c>
      <c r="C41" s="20" t="s">
        <v>60</v>
      </c>
      <c r="D41" s="19" t="s">
        <v>144</v>
      </c>
    </row>
    <row r="42" customFormat="false" ht="15" hidden="false" customHeight="false" outlineLevel="0" collapsed="false">
      <c r="A42" s="18" t="s">
        <v>84</v>
      </c>
      <c r="B42" s="19" t="s">
        <v>109</v>
      </c>
      <c r="C42" s="20" t="s">
        <v>60</v>
      </c>
      <c r="D42" s="19" t="s">
        <v>145</v>
      </c>
    </row>
    <row r="44" customFormat="false" ht="15" hidden="false" customHeight="false" outlineLevel="0" collapsed="false">
      <c r="A44" s="16" t="s">
        <v>146</v>
      </c>
      <c r="B44" s="16"/>
      <c r="C44" s="16"/>
      <c r="D44" s="16"/>
    </row>
    <row r="45" customFormat="false" ht="15" hidden="false" customHeight="false" outlineLevel="0" collapsed="false">
      <c r="A45" s="17" t="s">
        <v>54</v>
      </c>
      <c r="B45" s="17" t="s">
        <v>55</v>
      </c>
      <c r="C45" s="17" t="s">
        <v>56</v>
      </c>
      <c r="D45" s="17" t="s">
        <v>57</v>
      </c>
    </row>
    <row r="46" customFormat="false" ht="15" hidden="false" customHeight="false" outlineLevel="0" collapsed="false">
      <c r="A46" s="18" t="s">
        <v>65</v>
      </c>
      <c r="B46" s="19" t="s">
        <v>147</v>
      </c>
      <c r="C46" s="20" t="s">
        <v>60</v>
      </c>
      <c r="D46" s="19" t="s">
        <v>148</v>
      </c>
    </row>
    <row r="47" customFormat="false" ht="15" hidden="false" customHeight="false" outlineLevel="0" collapsed="false">
      <c r="A47" s="18" t="s">
        <v>68</v>
      </c>
      <c r="B47" s="19" t="s">
        <v>149</v>
      </c>
      <c r="C47" s="20" t="s">
        <v>60</v>
      </c>
      <c r="D47" s="19" t="s">
        <v>150</v>
      </c>
    </row>
    <row r="48" customFormat="false" ht="15" hidden="false" customHeight="false" outlineLevel="0" collapsed="false">
      <c r="A48" s="18" t="s">
        <v>71</v>
      </c>
      <c r="B48" s="19" t="s">
        <v>151</v>
      </c>
      <c r="C48" s="20" t="s">
        <v>60</v>
      </c>
      <c r="D48" s="19" t="s">
        <v>152</v>
      </c>
    </row>
    <row r="49" customFormat="false" ht="15" hidden="false" customHeight="false" outlineLevel="0" collapsed="false">
      <c r="A49" s="18" t="s">
        <v>74</v>
      </c>
      <c r="B49" s="19" t="s">
        <v>153</v>
      </c>
      <c r="C49" s="20" t="s">
        <v>60</v>
      </c>
      <c r="D49" s="19" t="s">
        <v>154</v>
      </c>
    </row>
    <row r="50" customFormat="false" ht="15" hidden="false" customHeight="false" outlineLevel="0" collapsed="false">
      <c r="A50" s="18" t="s">
        <v>78</v>
      </c>
      <c r="B50" s="19" t="s">
        <v>155</v>
      </c>
      <c r="C50" s="20" t="s">
        <v>60</v>
      </c>
      <c r="D50" s="19" t="s">
        <v>156</v>
      </c>
    </row>
    <row r="51" customFormat="false" ht="15" hidden="false" customHeight="false" outlineLevel="0" collapsed="false">
      <c r="A51" s="18" t="s">
        <v>81</v>
      </c>
      <c r="B51" s="19" t="s">
        <v>157</v>
      </c>
      <c r="C51" s="20" t="s">
        <v>60</v>
      </c>
      <c r="D51" s="19" t="s">
        <v>158</v>
      </c>
    </row>
    <row r="52" customFormat="false" ht="15" hidden="false" customHeight="false" outlineLevel="0" collapsed="false">
      <c r="A52" s="18" t="s">
        <v>84</v>
      </c>
      <c r="B52" s="19" t="s">
        <v>159</v>
      </c>
      <c r="C52" s="20" t="s">
        <v>60</v>
      </c>
      <c r="D52" s="19" t="s">
        <v>160</v>
      </c>
    </row>
    <row r="53" customFormat="false" ht="15" hidden="false" customHeight="false" outlineLevel="0" collapsed="false">
      <c r="A53" s="18" t="s">
        <v>87</v>
      </c>
      <c r="B53" s="19" t="s">
        <v>161</v>
      </c>
      <c r="C53" s="20" t="s">
        <v>60</v>
      </c>
      <c r="D53" s="19" t="s">
        <v>162</v>
      </c>
    </row>
    <row r="54" customFormat="false" ht="15" hidden="false" customHeight="false" outlineLevel="0" collapsed="false">
      <c r="A54" s="18" t="s">
        <v>90</v>
      </c>
      <c r="B54" s="19" t="s">
        <v>85</v>
      </c>
      <c r="C54" s="21" t="s">
        <v>76</v>
      </c>
      <c r="D54" s="19" t="s">
        <v>163</v>
      </c>
    </row>
    <row r="55" customFormat="false" ht="15" hidden="false" customHeight="false" outlineLevel="0" collapsed="false">
      <c r="A55" s="18" t="s">
        <v>93</v>
      </c>
      <c r="B55" s="19" t="s">
        <v>164</v>
      </c>
      <c r="C55" s="21" t="s">
        <v>76</v>
      </c>
      <c r="D55" s="19" t="s">
        <v>165</v>
      </c>
    </row>
    <row r="57" customFormat="false" ht="17.15" hidden="false" customHeight="false" outlineLevel="0" collapsed="false">
      <c r="A57" s="16" t="s">
        <v>166</v>
      </c>
      <c r="B57" s="16"/>
      <c r="C57" s="16"/>
      <c r="D57" s="16"/>
    </row>
    <row r="58" customFormat="false" ht="15" hidden="false" customHeight="false" outlineLevel="0" collapsed="false">
      <c r="A58" s="17" t="s">
        <v>54</v>
      </c>
      <c r="B58" s="17" t="s">
        <v>55</v>
      </c>
      <c r="C58" s="17" t="s">
        <v>56</v>
      </c>
      <c r="D58" s="17" t="s">
        <v>57</v>
      </c>
    </row>
    <row r="59" customFormat="false" ht="15" hidden="false" customHeight="false" outlineLevel="0" collapsed="false">
      <c r="A59" s="18" t="s">
        <v>167</v>
      </c>
      <c r="B59" s="19" t="s">
        <v>168</v>
      </c>
      <c r="C59" s="20" t="s">
        <v>169</v>
      </c>
      <c r="D59" s="19" t="s">
        <v>170</v>
      </c>
    </row>
    <row r="60" customFormat="false" ht="15" hidden="false" customHeight="false" outlineLevel="0" collapsed="false">
      <c r="A60" s="18" t="s">
        <v>171</v>
      </c>
      <c r="B60" s="19" t="s">
        <v>172</v>
      </c>
      <c r="C60" s="21" t="s">
        <v>76</v>
      </c>
      <c r="D60" s="19" t="s">
        <v>173</v>
      </c>
    </row>
    <row r="61" customFormat="false" ht="15" hidden="false" customHeight="false" outlineLevel="0" collapsed="false">
      <c r="A61" s="18" t="s">
        <v>71</v>
      </c>
      <c r="B61" s="19" t="s">
        <v>174</v>
      </c>
      <c r="C61" s="20" t="s">
        <v>169</v>
      </c>
      <c r="D61" s="19" t="s">
        <v>175</v>
      </c>
    </row>
    <row r="62" customFormat="false" ht="15" hidden="false" customHeight="false" outlineLevel="0" collapsed="false">
      <c r="A62" s="18" t="s">
        <v>74</v>
      </c>
      <c r="B62" s="19" t="s">
        <v>176</v>
      </c>
      <c r="C62" s="20" t="s">
        <v>169</v>
      </c>
      <c r="D62" s="19" t="s">
        <v>177</v>
      </c>
    </row>
    <row r="63" customFormat="false" ht="15" hidden="false" customHeight="false" outlineLevel="0" collapsed="false">
      <c r="A63" s="18" t="s">
        <v>78</v>
      </c>
      <c r="B63" s="19" t="s">
        <v>178</v>
      </c>
      <c r="C63" s="20" t="s">
        <v>169</v>
      </c>
      <c r="D63" s="19" t="s">
        <v>179</v>
      </c>
    </row>
    <row r="64" customFormat="false" ht="15" hidden="false" customHeight="false" outlineLevel="0" collapsed="false">
      <c r="A64" s="18" t="s">
        <v>81</v>
      </c>
      <c r="B64" s="19" t="s">
        <v>180</v>
      </c>
      <c r="C64" s="20" t="s">
        <v>169</v>
      </c>
      <c r="D64" s="19" t="s">
        <v>181</v>
      </c>
    </row>
    <row r="65" customFormat="false" ht="15" hidden="false" customHeight="false" outlineLevel="0" collapsed="false">
      <c r="A65" s="18" t="s">
        <v>84</v>
      </c>
      <c r="B65" s="19" t="s">
        <v>182</v>
      </c>
      <c r="C65" s="20" t="s">
        <v>169</v>
      </c>
      <c r="D65" s="19" t="s">
        <v>183</v>
      </c>
    </row>
    <row r="66" customFormat="false" ht="15" hidden="false" customHeight="false" outlineLevel="0" collapsed="false">
      <c r="A66" s="18" t="s">
        <v>87</v>
      </c>
      <c r="B66" s="19" t="s">
        <v>184</v>
      </c>
      <c r="C66" s="21" t="s">
        <v>76</v>
      </c>
      <c r="D66" s="19" t="s">
        <v>185</v>
      </c>
    </row>
    <row r="67" customFormat="false" ht="15" hidden="false" customHeight="false" outlineLevel="0" collapsed="false">
      <c r="A67" s="18" t="s">
        <v>90</v>
      </c>
      <c r="B67" s="19" t="s">
        <v>186</v>
      </c>
      <c r="C67" s="20" t="s">
        <v>169</v>
      </c>
      <c r="D67" s="19" t="s">
        <v>187</v>
      </c>
    </row>
    <row r="68" customFormat="false" ht="15" hidden="false" customHeight="false" outlineLevel="0" collapsed="false">
      <c r="A68" s="18" t="s">
        <v>93</v>
      </c>
      <c r="B68" s="19" t="s">
        <v>188</v>
      </c>
      <c r="C68" s="20" t="s">
        <v>169</v>
      </c>
      <c r="D68" s="19" t="s">
        <v>189</v>
      </c>
    </row>
    <row r="69" customFormat="false" ht="15" hidden="false" customHeight="false" outlineLevel="0" collapsed="false">
      <c r="A69" s="18" t="s">
        <v>96</v>
      </c>
      <c r="B69" s="19" t="s">
        <v>190</v>
      </c>
      <c r="C69" s="21" t="s">
        <v>76</v>
      </c>
      <c r="D69" s="19" t="s">
        <v>191</v>
      </c>
    </row>
    <row r="70" customFormat="false" ht="15" hidden="false" customHeight="false" outlineLevel="0" collapsed="false">
      <c r="A70" s="18" t="s">
        <v>99</v>
      </c>
      <c r="B70" s="19" t="s">
        <v>192</v>
      </c>
      <c r="C70" s="20" t="s">
        <v>169</v>
      </c>
      <c r="D70" s="19" t="s">
        <v>193</v>
      </c>
    </row>
    <row r="71" customFormat="false" ht="15" hidden="false" customHeight="false" outlineLevel="0" collapsed="false">
      <c r="A71" s="18" t="s">
        <v>102</v>
      </c>
      <c r="B71" s="19" t="s">
        <v>194</v>
      </c>
      <c r="C71" s="20" t="s">
        <v>169</v>
      </c>
      <c r="D71" s="19" t="s">
        <v>195</v>
      </c>
    </row>
    <row r="72" customFormat="false" ht="15" hidden="false" customHeight="false" outlineLevel="0" collapsed="false">
      <c r="A72" s="18" t="s">
        <v>105</v>
      </c>
      <c r="B72" s="19" t="s">
        <v>196</v>
      </c>
      <c r="C72" s="21" t="s">
        <v>76</v>
      </c>
      <c r="D72" s="19" t="s">
        <v>197</v>
      </c>
    </row>
    <row r="73" customFormat="false" ht="15" hidden="false" customHeight="false" outlineLevel="0" collapsed="false">
      <c r="A73" s="18" t="s">
        <v>108</v>
      </c>
      <c r="B73" s="19" t="s">
        <v>198</v>
      </c>
      <c r="C73" s="21" t="s">
        <v>76</v>
      </c>
      <c r="D73" s="19" t="s">
        <v>199</v>
      </c>
    </row>
    <row r="74" customFormat="false" ht="15" hidden="false" customHeight="false" outlineLevel="0" collapsed="false">
      <c r="A74" s="18" t="s">
        <v>111</v>
      </c>
      <c r="B74" s="19" t="s">
        <v>200</v>
      </c>
      <c r="C74" s="21" t="s">
        <v>76</v>
      </c>
      <c r="D74" s="19" t="s">
        <v>201</v>
      </c>
    </row>
    <row r="75" customFormat="false" ht="15" hidden="false" customHeight="false" outlineLevel="0" collapsed="false">
      <c r="A75" s="18" t="s">
        <v>114</v>
      </c>
      <c r="B75" s="19" t="s">
        <v>202</v>
      </c>
      <c r="C75" s="21" t="s">
        <v>76</v>
      </c>
      <c r="D75" s="19" t="s">
        <v>203</v>
      </c>
    </row>
    <row r="76" customFormat="false" ht="15" hidden="false" customHeight="false" outlineLevel="0" collapsed="false">
      <c r="A76" s="18" t="s">
        <v>117</v>
      </c>
      <c r="B76" s="19" t="s">
        <v>204</v>
      </c>
      <c r="C76" s="20" t="s">
        <v>169</v>
      </c>
      <c r="D76" s="19" t="s">
        <v>205</v>
      </c>
    </row>
    <row r="77" customFormat="false" ht="15" hidden="false" customHeight="false" outlineLevel="0" collapsed="false">
      <c r="A77" s="18" t="s">
        <v>120</v>
      </c>
      <c r="B77" s="19" t="s">
        <v>206</v>
      </c>
      <c r="C77" s="21" t="s">
        <v>76</v>
      </c>
      <c r="D77" s="19" t="s">
        <v>207</v>
      </c>
    </row>
    <row r="78" customFormat="false" ht="15" hidden="false" customHeight="false" outlineLevel="0" collapsed="false">
      <c r="A78" s="18" t="s">
        <v>123</v>
      </c>
      <c r="B78" s="19" t="s">
        <v>208</v>
      </c>
      <c r="C78" s="20" t="s">
        <v>169</v>
      </c>
      <c r="D78" s="19" t="s">
        <v>209</v>
      </c>
    </row>
    <row r="79" customFormat="false" ht="15" hidden="false" customHeight="false" outlineLevel="0" collapsed="false">
      <c r="A79" s="18" t="s">
        <v>126</v>
      </c>
      <c r="B79" s="19" t="s">
        <v>210</v>
      </c>
      <c r="C79" s="20" t="s">
        <v>169</v>
      </c>
      <c r="D79" s="19" t="s">
        <v>211</v>
      </c>
    </row>
    <row r="80" customFormat="false" ht="15" hidden="false" customHeight="false" outlineLevel="0" collapsed="false">
      <c r="A80" s="18" t="s">
        <v>212</v>
      </c>
      <c r="B80" s="19" t="s">
        <v>213</v>
      </c>
      <c r="C80" s="21" t="s">
        <v>76</v>
      </c>
      <c r="D80" s="19" t="s">
        <v>214</v>
      </c>
    </row>
    <row r="81" customFormat="false" ht="15" hidden="false" customHeight="false" outlineLevel="0" collapsed="false">
      <c r="A81" s="18" t="s">
        <v>215</v>
      </c>
      <c r="B81" s="19" t="s">
        <v>216</v>
      </c>
      <c r="C81" s="21" t="s">
        <v>76</v>
      </c>
      <c r="D81" s="19" t="s">
        <v>217</v>
      </c>
    </row>
    <row r="82" customFormat="false" ht="15" hidden="false" customHeight="false" outlineLevel="0" collapsed="false">
      <c r="A82" s="18" t="s">
        <v>218</v>
      </c>
      <c r="B82" s="19" t="s">
        <v>219</v>
      </c>
      <c r="C82" s="21" t="s">
        <v>76</v>
      </c>
      <c r="D82" s="19" t="s">
        <v>220</v>
      </c>
    </row>
    <row r="83" customFormat="false" ht="15" hidden="false" customHeight="false" outlineLevel="0" collapsed="false">
      <c r="A83" s="18" t="s">
        <v>221</v>
      </c>
      <c r="B83" s="19" t="s">
        <v>222</v>
      </c>
      <c r="C83" s="21" t="s">
        <v>76</v>
      </c>
      <c r="D83" s="22" t="s">
        <v>223</v>
      </c>
    </row>
    <row r="85" customFormat="false" ht="15" hidden="false" customHeight="false" outlineLevel="0" collapsed="false">
      <c r="A85" s="16" t="s">
        <v>224</v>
      </c>
      <c r="B85" s="16"/>
      <c r="C85" s="16"/>
      <c r="D85" s="16"/>
    </row>
    <row r="86" customFormat="false" ht="15" hidden="false" customHeight="false" outlineLevel="0" collapsed="false">
      <c r="A86" s="17" t="s">
        <v>54</v>
      </c>
      <c r="B86" s="17" t="s">
        <v>55</v>
      </c>
      <c r="C86" s="17" t="s">
        <v>56</v>
      </c>
      <c r="D86" s="17" t="s">
        <v>57</v>
      </c>
    </row>
    <row r="87" customFormat="false" ht="29.85" hidden="false" customHeight="false" outlineLevel="0" collapsed="false">
      <c r="A87" s="18" t="s">
        <v>225</v>
      </c>
      <c r="B87" s="19" t="s">
        <v>226</v>
      </c>
      <c r="C87" s="21" t="s">
        <v>76</v>
      </c>
      <c r="D87" s="19" t="s">
        <v>227</v>
      </c>
    </row>
    <row r="88" customFormat="false" ht="29.85" hidden="false" customHeight="false" outlineLevel="0" collapsed="false">
      <c r="A88" s="18" t="s">
        <v>228</v>
      </c>
      <c r="B88" s="19" t="s">
        <v>229</v>
      </c>
      <c r="C88" s="20" t="s">
        <v>230</v>
      </c>
      <c r="D88" s="19" t="s">
        <v>231</v>
      </c>
    </row>
    <row r="89" customFormat="false" ht="15" hidden="false" customHeight="false" outlineLevel="0" collapsed="false">
      <c r="A89" s="18" t="s">
        <v>58</v>
      </c>
      <c r="B89" s="19" t="s">
        <v>232</v>
      </c>
      <c r="C89" s="20" t="s">
        <v>233</v>
      </c>
      <c r="D89" s="19" t="s">
        <v>234</v>
      </c>
    </row>
    <row r="90" customFormat="false" ht="15" hidden="false" customHeight="false" outlineLevel="0" collapsed="false">
      <c r="A90" s="18" t="s">
        <v>235</v>
      </c>
      <c r="B90" s="19" t="s">
        <v>236</v>
      </c>
      <c r="C90" s="20" t="s">
        <v>237</v>
      </c>
      <c r="D90" s="19" t="s">
        <v>238</v>
      </c>
    </row>
    <row r="91" customFormat="false" ht="15" hidden="false" customHeight="false" outlineLevel="0" collapsed="false">
      <c r="A91" s="18" t="s">
        <v>225</v>
      </c>
      <c r="B91" s="19" t="s">
        <v>239</v>
      </c>
      <c r="C91" s="20" t="s">
        <v>240</v>
      </c>
      <c r="D91" s="19" t="s">
        <v>241</v>
      </c>
    </row>
    <row r="93" customFormat="false" ht="15" hidden="false" customHeight="false" outlineLevel="0" collapsed="false">
      <c r="A93" s="16" t="s">
        <v>242</v>
      </c>
      <c r="B93" s="16"/>
      <c r="C93" s="16"/>
      <c r="D93" s="16"/>
    </row>
    <row r="94" customFormat="false" ht="30" hidden="false" customHeight="true" outlineLevel="0" collapsed="false">
      <c r="A94" s="23" t="s">
        <v>243</v>
      </c>
      <c r="B94" s="23"/>
      <c r="C94" s="23"/>
      <c r="D94" s="23"/>
    </row>
    <row r="95" customFormat="false" ht="30" hidden="false" customHeight="true" outlineLevel="0" collapsed="false">
      <c r="A95" s="23" t="s">
        <v>244</v>
      </c>
      <c r="B95" s="23"/>
      <c r="C95" s="23"/>
      <c r="D95" s="23"/>
    </row>
    <row r="96" customFormat="false" ht="30" hidden="false" customHeight="true" outlineLevel="0" collapsed="false">
      <c r="A96" s="23" t="s">
        <v>245</v>
      </c>
      <c r="B96" s="23"/>
      <c r="C96" s="23"/>
      <c r="D96" s="23"/>
    </row>
    <row r="97" customFormat="false" ht="30" hidden="false" customHeight="true" outlineLevel="0" collapsed="false">
      <c r="A97" s="23" t="s">
        <v>246</v>
      </c>
      <c r="B97" s="23"/>
      <c r="C97" s="23"/>
      <c r="D97" s="23"/>
    </row>
    <row r="98" customFormat="false" ht="30" hidden="false" customHeight="true" outlineLevel="0" collapsed="false">
      <c r="A98" s="23" t="s">
        <v>247</v>
      </c>
      <c r="B98" s="23"/>
      <c r="C98" s="23"/>
      <c r="D98" s="23"/>
    </row>
  </sheetData>
  <mergeCells count="15">
    <mergeCell ref="A1:D1"/>
    <mergeCell ref="A2:D2"/>
    <mergeCell ref="A4:B4"/>
    <mergeCell ref="C4:D4"/>
    <mergeCell ref="A6:D6"/>
    <mergeCell ref="A32:D32"/>
    <mergeCell ref="A44:D44"/>
    <mergeCell ref="A57:D57"/>
    <mergeCell ref="A85:D85"/>
    <mergeCell ref="A93:D93"/>
    <mergeCell ref="A94:D94"/>
    <mergeCell ref="A95:D95"/>
    <mergeCell ref="A96:D96"/>
    <mergeCell ref="A97:D97"/>
    <mergeCell ref="A98:D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3C0C"/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72"/>
    <col collapsed="false" customWidth="true" hidden="false" outlineLevel="0" max="4" min="4" style="1" width="30"/>
    <col collapsed="false" customWidth="true" hidden="false" outlineLevel="0" max="5" min="5" style="1" width="46"/>
  </cols>
  <sheetData>
    <row r="1" customFormat="false" ht="25.5" hidden="false" customHeight="true" outlineLevel="0" collapsed="false">
      <c r="A1" s="2" t="s">
        <v>248</v>
      </c>
      <c r="B1" s="2"/>
      <c r="C1" s="2"/>
      <c r="D1" s="2"/>
      <c r="E1" s="2"/>
    </row>
    <row r="2" customFormat="false" ht="15" hidden="false" customHeight="true" outlineLevel="0" collapsed="false">
      <c r="A2" s="24" t="s">
        <v>249</v>
      </c>
      <c r="B2" s="24" t="s">
        <v>250</v>
      </c>
      <c r="C2" s="24" t="s">
        <v>251</v>
      </c>
      <c r="D2" s="24" t="s">
        <v>252</v>
      </c>
      <c r="E2" s="24" t="s">
        <v>253</v>
      </c>
    </row>
    <row r="3" customFormat="false" ht="43.5" hidden="false" customHeight="true" outlineLevel="0" collapsed="false">
      <c r="A3" s="25" t="s">
        <v>254</v>
      </c>
      <c r="B3" s="26" t="s">
        <v>255</v>
      </c>
      <c r="C3" s="26" t="s">
        <v>256</v>
      </c>
      <c r="D3" s="26" t="s">
        <v>257</v>
      </c>
      <c r="E3" s="27" t="s">
        <v>258</v>
      </c>
    </row>
    <row r="4" customFormat="false" ht="34.5" hidden="false" customHeight="true" outlineLevel="0" collapsed="false">
      <c r="A4" s="25" t="s">
        <v>254</v>
      </c>
      <c r="B4" s="26" t="s">
        <v>259</v>
      </c>
      <c r="C4" s="27" t="s">
        <v>260</v>
      </c>
      <c r="D4" s="26" t="s">
        <v>261</v>
      </c>
      <c r="E4" s="27" t="s">
        <v>262</v>
      </c>
    </row>
    <row r="5" customFormat="false" ht="29.25" hidden="false" customHeight="true" outlineLevel="0" collapsed="false">
      <c r="A5" s="25" t="s">
        <v>254</v>
      </c>
      <c r="B5" s="26" t="s">
        <v>263</v>
      </c>
      <c r="C5" s="26" t="s">
        <v>264</v>
      </c>
      <c r="D5" s="26" t="s">
        <v>265</v>
      </c>
      <c r="E5" s="27" t="s">
        <v>258</v>
      </c>
    </row>
    <row r="6" customFormat="false" ht="23.25" hidden="false" customHeight="true" outlineLevel="0" collapsed="false">
      <c r="A6" s="25" t="s">
        <v>266</v>
      </c>
      <c r="B6" s="26" t="s">
        <v>267</v>
      </c>
      <c r="C6" s="26" t="s">
        <v>268</v>
      </c>
      <c r="D6" s="26" t="s">
        <v>269</v>
      </c>
      <c r="E6" s="27" t="s">
        <v>258</v>
      </c>
    </row>
    <row r="7" customFormat="false" ht="29.25" hidden="false" customHeight="true" outlineLevel="0" collapsed="false">
      <c r="A7" s="25" t="s">
        <v>266</v>
      </c>
      <c r="B7" s="26" t="s">
        <v>270</v>
      </c>
      <c r="C7" s="26" t="s">
        <v>271</v>
      </c>
      <c r="D7" s="26" t="s">
        <v>272</v>
      </c>
      <c r="E7" s="27" t="s">
        <v>258</v>
      </c>
    </row>
    <row r="8" customFormat="false" ht="23.25" hidden="false" customHeight="true" outlineLevel="0" collapsed="false">
      <c r="A8" s="25" t="s">
        <v>266</v>
      </c>
      <c r="B8" s="26" t="s">
        <v>273</v>
      </c>
      <c r="C8" s="26" t="s">
        <v>274</v>
      </c>
      <c r="D8" s="26" t="s">
        <v>275</v>
      </c>
      <c r="E8" s="27" t="s">
        <v>258</v>
      </c>
    </row>
    <row r="9" customFormat="false" ht="29.25" hidden="false" customHeight="true" outlineLevel="0" collapsed="false">
      <c r="A9" s="25" t="s">
        <v>266</v>
      </c>
      <c r="B9" s="26" t="s">
        <v>276</v>
      </c>
      <c r="C9" s="26" t="s">
        <v>277</v>
      </c>
      <c r="D9" s="26" t="s">
        <v>278</v>
      </c>
      <c r="E9" s="27" t="s">
        <v>258</v>
      </c>
    </row>
    <row r="10" customFormat="false" ht="29.25" hidden="false" customHeight="true" outlineLevel="0" collapsed="false">
      <c r="A10" s="25" t="s">
        <v>279</v>
      </c>
      <c r="B10" s="26" t="s">
        <v>280</v>
      </c>
      <c r="C10" s="26" t="s">
        <v>281</v>
      </c>
      <c r="D10" s="26" t="s">
        <v>282</v>
      </c>
      <c r="E10" s="27" t="s">
        <v>258</v>
      </c>
    </row>
    <row r="11" customFormat="false" ht="29.25" hidden="false" customHeight="true" outlineLevel="0" collapsed="false">
      <c r="A11" s="25" t="s">
        <v>279</v>
      </c>
      <c r="B11" s="26" t="s">
        <v>283</v>
      </c>
      <c r="C11" s="26" t="s">
        <v>284</v>
      </c>
      <c r="D11" s="26" t="s">
        <v>285</v>
      </c>
      <c r="E11" s="27" t="s">
        <v>258</v>
      </c>
    </row>
    <row r="12" customFormat="false" ht="29.25" hidden="false" customHeight="true" outlineLevel="0" collapsed="false">
      <c r="A12" s="25" t="s">
        <v>279</v>
      </c>
      <c r="B12" s="26" t="s">
        <v>286</v>
      </c>
      <c r="C12" s="27" t="s">
        <v>287</v>
      </c>
      <c r="D12" s="26" t="s">
        <v>288</v>
      </c>
      <c r="E12" s="27" t="s">
        <v>258</v>
      </c>
    </row>
    <row r="13" customFormat="false" ht="29.25" hidden="false" customHeight="true" outlineLevel="0" collapsed="false">
      <c r="A13" s="25" t="s">
        <v>289</v>
      </c>
      <c r="B13" s="26" t="s">
        <v>290</v>
      </c>
      <c r="C13" s="26" t="s">
        <v>291</v>
      </c>
      <c r="D13" s="26" t="s">
        <v>292</v>
      </c>
      <c r="E13" s="27" t="s">
        <v>293</v>
      </c>
    </row>
    <row r="14" customFormat="false" ht="23.25" hidden="false" customHeight="true" outlineLevel="0" collapsed="false">
      <c r="A14" s="25" t="s">
        <v>289</v>
      </c>
      <c r="B14" s="26" t="s">
        <v>294</v>
      </c>
      <c r="C14" s="26" t="s">
        <v>295</v>
      </c>
      <c r="D14" s="26" t="s">
        <v>296</v>
      </c>
      <c r="E14" s="27" t="s">
        <v>293</v>
      </c>
    </row>
    <row r="15" customFormat="false" ht="29.25" hidden="false" customHeight="true" outlineLevel="0" collapsed="false">
      <c r="A15" s="25" t="s">
        <v>289</v>
      </c>
      <c r="B15" s="26" t="s">
        <v>297</v>
      </c>
      <c r="C15" s="26" t="s">
        <v>298</v>
      </c>
      <c r="D15" s="26" t="s">
        <v>299</v>
      </c>
      <c r="E15" s="27" t="s">
        <v>300</v>
      </c>
    </row>
    <row r="16" customFormat="false" ht="29.25" hidden="false" customHeight="true" outlineLevel="0" collapsed="false">
      <c r="A16" s="25" t="s">
        <v>301</v>
      </c>
      <c r="B16" s="26" t="s">
        <v>302</v>
      </c>
      <c r="C16" s="26" t="s">
        <v>303</v>
      </c>
      <c r="D16" s="26" t="s">
        <v>304</v>
      </c>
      <c r="E16" s="27" t="s">
        <v>305</v>
      </c>
    </row>
    <row r="17" customFormat="false" ht="29.25" hidden="false" customHeight="true" outlineLevel="0" collapsed="false">
      <c r="A17" s="25" t="s">
        <v>301</v>
      </c>
      <c r="B17" s="27" t="s">
        <v>306</v>
      </c>
      <c r="C17" s="26" t="s">
        <v>307</v>
      </c>
      <c r="D17" s="26" t="s">
        <v>308</v>
      </c>
      <c r="E17" s="27" t="s">
        <v>309</v>
      </c>
    </row>
    <row r="18" customFormat="false" ht="29.25" hidden="false" customHeight="true" outlineLevel="0" collapsed="false">
      <c r="A18" s="25" t="s">
        <v>301</v>
      </c>
      <c r="B18" s="26" t="s">
        <v>310</v>
      </c>
      <c r="C18" s="26" t="s">
        <v>311</v>
      </c>
      <c r="D18" s="26" t="s">
        <v>312</v>
      </c>
      <c r="E18" s="27" t="s">
        <v>305</v>
      </c>
    </row>
    <row r="19" customFormat="false" ht="29.25" hidden="false" customHeight="true" outlineLevel="0" collapsed="false">
      <c r="A19" s="25" t="s">
        <v>313</v>
      </c>
      <c r="B19" s="26" t="s">
        <v>314</v>
      </c>
      <c r="C19" s="27" t="s">
        <v>315</v>
      </c>
      <c r="D19" s="26" t="s">
        <v>316</v>
      </c>
      <c r="E19" s="27" t="s">
        <v>317</v>
      </c>
    </row>
    <row r="20" customFormat="false" ht="29.25" hidden="false" customHeight="true" outlineLevel="0" collapsed="false">
      <c r="A20" s="25" t="s">
        <v>318</v>
      </c>
      <c r="B20" s="27" t="s">
        <v>306</v>
      </c>
      <c r="C20" s="26" t="s">
        <v>319</v>
      </c>
      <c r="D20" s="26" t="s">
        <v>320</v>
      </c>
      <c r="E20" s="27" t="s">
        <v>321</v>
      </c>
    </row>
    <row r="21" customFormat="false" ht="29.25" hidden="false" customHeight="true" outlineLevel="0" collapsed="false">
      <c r="A21" s="25" t="s">
        <v>318</v>
      </c>
      <c r="B21" s="26" t="s">
        <v>322</v>
      </c>
      <c r="C21" s="26" t="s">
        <v>323</v>
      </c>
      <c r="D21" s="26" t="s">
        <v>324</v>
      </c>
      <c r="E21" s="27" t="s">
        <v>321</v>
      </c>
    </row>
    <row r="22" customFormat="false" ht="29.25" hidden="false" customHeight="true" outlineLevel="0" collapsed="false">
      <c r="A22" s="25" t="s">
        <v>325</v>
      </c>
      <c r="B22" s="26" t="s">
        <v>326</v>
      </c>
      <c r="C22" s="26" t="s">
        <v>327</v>
      </c>
      <c r="D22" s="26" t="s">
        <v>328</v>
      </c>
      <c r="E22" s="27" t="s">
        <v>329</v>
      </c>
    </row>
    <row r="23" customFormat="false" ht="29.25" hidden="false" customHeight="true" outlineLevel="0" collapsed="false">
      <c r="A23" s="25" t="s">
        <v>325</v>
      </c>
      <c r="B23" s="26" t="s">
        <v>330</v>
      </c>
      <c r="C23" s="26" t="s">
        <v>331</v>
      </c>
      <c r="D23" s="26" t="s">
        <v>332</v>
      </c>
      <c r="E23" s="27" t="s">
        <v>333</v>
      </c>
    </row>
    <row r="24" customFormat="false" ht="29.25" hidden="false" customHeight="true" outlineLevel="0" collapsed="false">
      <c r="A24" s="25" t="s">
        <v>334</v>
      </c>
      <c r="B24" s="26" t="s">
        <v>335</v>
      </c>
      <c r="C24" s="26" t="s">
        <v>336</v>
      </c>
      <c r="D24" s="26" t="s">
        <v>337</v>
      </c>
      <c r="E24" s="27" t="s">
        <v>338</v>
      </c>
    </row>
    <row r="25" customFormat="false" ht="29.25" hidden="false" customHeight="true" outlineLevel="0" collapsed="false">
      <c r="A25" s="25" t="s">
        <v>334</v>
      </c>
      <c r="B25" s="26" t="s">
        <v>339</v>
      </c>
      <c r="C25" s="26" t="s">
        <v>340</v>
      </c>
      <c r="D25" s="26" t="s">
        <v>341</v>
      </c>
      <c r="E25" s="27" t="s">
        <v>342</v>
      </c>
    </row>
    <row r="26" customFormat="false" ht="29.25" hidden="false" customHeight="true" outlineLevel="0" collapsed="false">
      <c r="A26" s="25" t="s">
        <v>343</v>
      </c>
      <c r="B26" s="26" t="s">
        <v>344</v>
      </c>
      <c r="C26" s="26" t="s">
        <v>345</v>
      </c>
      <c r="D26" s="26" t="s">
        <v>346</v>
      </c>
      <c r="E26" s="27" t="s">
        <v>342</v>
      </c>
    </row>
    <row r="27" customFormat="false" ht="29.25" hidden="false" customHeight="true" outlineLevel="0" collapsed="false">
      <c r="A27" s="25" t="s">
        <v>347</v>
      </c>
      <c r="B27" s="26" t="s">
        <v>348</v>
      </c>
      <c r="C27" s="26" t="s">
        <v>349</v>
      </c>
      <c r="D27" s="26" t="s">
        <v>350</v>
      </c>
      <c r="E27" s="27" t="s">
        <v>351</v>
      </c>
    </row>
    <row r="28" customFormat="false" ht="29.25" hidden="false" customHeight="true" outlineLevel="0" collapsed="false">
      <c r="A28" s="25" t="s">
        <v>347</v>
      </c>
      <c r="B28" s="26" t="s">
        <v>352</v>
      </c>
      <c r="C28" s="26" t="s">
        <v>353</v>
      </c>
      <c r="D28" s="26" t="s">
        <v>354</v>
      </c>
      <c r="E28" s="27" t="s">
        <v>355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6"/>
    <col collapsed="false" customWidth="true" hidden="false" outlineLevel="0" max="3" min="3" style="1" width="14"/>
    <col collapsed="false" customWidth="true" hidden="false" outlineLevel="0" max="4" min="4" style="1" width="44"/>
    <col collapsed="false" customWidth="true" hidden="false" outlineLevel="0" max="5" min="5" style="1" width="22"/>
    <col collapsed="false" customWidth="true" hidden="false" outlineLevel="0" max="6" min="6" style="1" width="2"/>
    <col collapsed="false" customWidth="true" hidden="false" outlineLevel="0" max="7" min="7" style="1" width="22"/>
    <col collapsed="false" customWidth="true" hidden="false" outlineLevel="0" max="8" min="8" style="1" width="10"/>
  </cols>
  <sheetData>
    <row r="1" customFormat="false" ht="25.5" hidden="false" customHeight="true" outlineLevel="0" collapsed="false">
      <c r="A1" s="2" t="s">
        <v>356</v>
      </c>
      <c r="B1" s="2"/>
      <c r="C1" s="2"/>
      <c r="D1" s="2"/>
      <c r="E1" s="2"/>
      <c r="F1" s="2"/>
      <c r="G1" s="2"/>
      <c r="H1" s="2"/>
    </row>
    <row r="2" customFormat="false" ht="29.25" hidden="false" customHeight="true" outlineLevel="0" collapsed="false">
      <c r="A2" s="24" t="s">
        <v>250</v>
      </c>
      <c r="B2" s="24" t="s">
        <v>357</v>
      </c>
      <c r="C2" s="24" t="s">
        <v>358</v>
      </c>
      <c r="D2" s="24" t="s">
        <v>359</v>
      </c>
      <c r="E2" s="24" t="s">
        <v>360</v>
      </c>
      <c r="G2" s="24" t="s">
        <v>361</v>
      </c>
      <c r="H2" s="24" t="s">
        <v>362</v>
      </c>
    </row>
    <row r="3" customFormat="false" ht="15" hidden="false" customHeight="true" outlineLevel="0" collapsed="false">
      <c r="A3" s="25" t="s">
        <v>363</v>
      </c>
      <c r="B3" s="28" t="s">
        <v>364</v>
      </c>
      <c r="C3" s="29" t="s">
        <v>365</v>
      </c>
      <c r="D3" s="30" t="s">
        <v>366</v>
      </c>
      <c r="E3" s="31" t="s">
        <v>367</v>
      </c>
      <c r="G3" s="32" t="n">
        <v>0</v>
      </c>
      <c r="H3" s="32" t="n">
        <v>0</v>
      </c>
    </row>
    <row r="4" customFormat="false" ht="15" hidden="false" customHeight="true" outlineLevel="0" collapsed="false">
      <c r="A4" s="25" t="s">
        <v>368</v>
      </c>
      <c r="B4" s="28" t="s">
        <v>369</v>
      </c>
      <c r="C4" s="33" t="n">
        <v>29500</v>
      </c>
      <c r="D4" s="34" t="s">
        <v>370</v>
      </c>
      <c r="E4" s="31" t="s">
        <v>371</v>
      </c>
      <c r="G4" s="32" t="n">
        <v>6</v>
      </c>
      <c r="H4" s="32" t="n">
        <v>3</v>
      </c>
    </row>
    <row r="5" customFormat="false" ht="15" hidden="false" customHeight="true" outlineLevel="0" collapsed="false">
      <c r="A5" s="25" t="s">
        <v>372</v>
      </c>
      <c r="B5" s="28" t="s">
        <v>373</v>
      </c>
      <c r="C5" s="33" t="n">
        <v>196</v>
      </c>
      <c r="D5" s="34" t="s">
        <v>374</v>
      </c>
      <c r="E5" s="31" t="s">
        <v>375</v>
      </c>
      <c r="G5" s="32" t="n">
        <v>12</v>
      </c>
      <c r="H5" s="32" t="n">
        <v>7</v>
      </c>
    </row>
    <row r="6" customFormat="false" ht="15" hidden="false" customHeight="true" outlineLevel="0" collapsed="false">
      <c r="A6" s="25" t="s">
        <v>376</v>
      </c>
      <c r="B6" s="28" t="s">
        <v>377</v>
      </c>
      <c r="C6" s="35" t="n">
        <v>0.115</v>
      </c>
      <c r="D6" s="30" t="s">
        <v>378</v>
      </c>
      <c r="E6" s="31" t="s">
        <v>379</v>
      </c>
      <c r="G6" s="32" t="n">
        <v>24</v>
      </c>
      <c r="H6" s="32" t="n">
        <v>10</v>
      </c>
    </row>
    <row r="7" customFormat="false" ht="15" hidden="false" customHeight="true" outlineLevel="0" collapsed="false">
      <c r="A7" s="25" t="s">
        <v>380</v>
      </c>
      <c r="B7" s="28" t="s">
        <v>381</v>
      </c>
      <c r="C7" s="35" t="n">
        <v>0.01</v>
      </c>
      <c r="D7" s="34" t="s">
        <v>382</v>
      </c>
      <c r="E7" s="31" t="s">
        <v>383</v>
      </c>
      <c r="G7" s="32" t="n">
        <v>36</v>
      </c>
      <c r="H7" s="32" t="n">
        <v>14</v>
      </c>
    </row>
    <row r="8" customFormat="false" ht="15" hidden="false" customHeight="true" outlineLevel="0" collapsed="false">
      <c r="A8" s="25" t="s">
        <v>384</v>
      </c>
      <c r="B8" s="28" t="s">
        <v>385</v>
      </c>
      <c r="C8" s="36" t="n">
        <f aca="false">C6+C7</f>
        <v>0.125</v>
      </c>
      <c r="D8" s="30" t="s">
        <v>386</v>
      </c>
      <c r="E8" s="37" t="s">
        <v>225</v>
      </c>
      <c r="G8" s="32" t="n">
        <v>60</v>
      </c>
      <c r="H8" s="32" t="n">
        <v>15</v>
      </c>
    </row>
    <row r="9" customFormat="false" ht="15" hidden="false" customHeight="true" outlineLevel="0" collapsed="false">
      <c r="A9" s="25" t="s">
        <v>387</v>
      </c>
      <c r="B9" s="28" t="s">
        <v>388</v>
      </c>
      <c r="C9" s="35" t="n">
        <v>0.2</v>
      </c>
      <c r="D9" s="34" t="s">
        <v>389</v>
      </c>
      <c r="E9" s="31" t="s">
        <v>390</v>
      </c>
      <c r="G9" s="32" t="n">
        <v>120</v>
      </c>
      <c r="H9" s="32" t="n">
        <v>16</v>
      </c>
    </row>
    <row r="10" customFormat="false" ht="15" hidden="false" customHeight="true" outlineLevel="0" collapsed="false">
      <c r="A10" s="25" t="s">
        <v>391</v>
      </c>
      <c r="B10" s="28" t="s">
        <v>392</v>
      </c>
      <c r="C10" s="35" t="n">
        <v>0.7</v>
      </c>
      <c r="D10" s="30"/>
      <c r="E10" s="31" t="s">
        <v>375</v>
      </c>
      <c r="G10" s="32" t="n">
        <v>132</v>
      </c>
      <c r="H10" s="32" t="n">
        <v>17</v>
      </c>
    </row>
    <row r="11" customFormat="false" ht="26.25" hidden="false" customHeight="true" outlineLevel="0" collapsed="false">
      <c r="A11" s="25" t="s">
        <v>393</v>
      </c>
      <c r="B11" s="28" t="s">
        <v>394</v>
      </c>
      <c r="C11" s="38" t="n">
        <v>0.0021</v>
      </c>
      <c r="D11" s="34" t="s">
        <v>395</v>
      </c>
      <c r="E11" s="31" t="s">
        <v>396</v>
      </c>
      <c r="G11" s="32" t="n">
        <v>144</v>
      </c>
      <c r="H11" s="32" t="n">
        <v>18</v>
      </c>
    </row>
    <row r="12" customFormat="false" ht="15" hidden="false" customHeight="true" outlineLevel="0" collapsed="false">
      <c r="A12" s="25" t="s">
        <v>397</v>
      </c>
      <c r="B12" s="28" t="s">
        <v>398</v>
      </c>
      <c r="C12" s="39" t="n">
        <v>0.0517</v>
      </c>
      <c r="D12" s="30" t="s">
        <v>399</v>
      </c>
      <c r="E12" s="31" t="s">
        <v>400</v>
      </c>
      <c r="G12" s="32" t="n">
        <v>156</v>
      </c>
      <c r="H12" s="32" t="n">
        <v>19</v>
      </c>
    </row>
    <row r="13" customFormat="false" ht="15" hidden="false" customHeight="true" outlineLevel="0" collapsed="false">
      <c r="A13" s="25" t="s">
        <v>401</v>
      </c>
      <c r="B13" s="28" t="s">
        <v>402</v>
      </c>
      <c r="C13" s="35" t="n">
        <v>0.3</v>
      </c>
      <c r="D13" s="34" t="s">
        <v>403</v>
      </c>
      <c r="E13" s="31" t="s">
        <v>404</v>
      </c>
      <c r="G13" s="32" t="n">
        <v>168</v>
      </c>
      <c r="H13" s="32" t="n">
        <v>20</v>
      </c>
    </row>
    <row r="14" customFormat="false" ht="15" hidden="false" customHeight="true" outlineLevel="0" collapsed="false">
      <c r="A14" s="25" t="s">
        <v>405</v>
      </c>
      <c r="B14" s="28" t="s">
        <v>406</v>
      </c>
      <c r="C14" s="35" t="n">
        <v>0.6</v>
      </c>
      <c r="D14" s="30"/>
      <c r="E14" s="31" t="s">
        <v>375</v>
      </c>
      <c r="G14" s="32" t="n">
        <v>180</v>
      </c>
      <c r="H14" s="32" t="n">
        <v>21</v>
      </c>
    </row>
    <row r="15" customFormat="false" ht="15" hidden="false" customHeight="true" outlineLevel="0" collapsed="false">
      <c r="A15" s="25" t="s">
        <v>407</v>
      </c>
      <c r="B15" s="28" t="s">
        <v>408</v>
      </c>
      <c r="C15" s="40" t="n">
        <v>0.56</v>
      </c>
      <c r="D15" s="34" t="s">
        <v>409</v>
      </c>
      <c r="E15" s="31" t="s">
        <v>410</v>
      </c>
      <c r="G15" s="32" t="n">
        <v>192</v>
      </c>
      <c r="H15" s="32" t="n">
        <v>22</v>
      </c>
    </row>
    <row r="16" customFormat="false" ht="15" hidden="false" customHeight="true" outlineLevel="0" collapsed="false">
      <c r="A16" s="25" t="s">
        <v>411</v>
      </c>
      <c r="B16" s="28" t="s">
        <v>412</v>
      </c>
      <c r="C16" s="41" t="n">
        <v>3</v>
      </c>
      <c r="D16" s="34" t="s">
        <v>413</v>
      </c>
      <c r="E16" s="31" t="s">
        <v>414</v>
      </c>
      <c r="G16" s="32" t="n">
        <v>204</v>
      </c>
      <c r="H16" s="32" t="n">
        <v>23</v>
      </c>
    </row>
    <row r="17" customFormat="false" ht="15" hidden="false" customHeight="true" outlineLevel="0" collapsed="false">
      <c r="A17" s="25" t="s">
        <v>415</v>
      </c>
      <c r="B17" s="28" t="s">
        <v>416</v>
      </c>
      <c r="C17" s="35" t="n">
        <v>0.06</v>
      </c>
      <c r="D17" s="34" t="s">
        <v>417</v>
      </c>
      <c r="E17" s="31" t="s">
        <v>418</v>
      </c>
      <c r="G17" s="32" t="n">
        <v>216</v>
      </c>
      <c r="H17" s="32" t="n">
        <v>24</v>
      </c>
    </row>
    <row r="18" customFormat="false" ht="15" hidden="false" customHeight="true" outlineLevel="0" collapsed="false">
      <c r="A18" s="25" t="s">
        <v>419</v>
      </c>
      <c r="B18" s="28" t="s">
        <v>420</v>
      </c>
      <c r="C18" s="39" t="n">
        <v>0.0211</v>
      </c>
      <c r="D18" s="34" t="s">
        <v>421</v>
      </c>
      <c r="E18" s="31" t="s">
        <v>422</v>
      </c>
      <c r="G18" s="32" t="n">
        <v>228</v>
      </c>
      <c r="H18" s="32" t="n">
        <v>25</v>
      </c>
    </row>
    <row r="19" customFormat="false" ht="15" hidden="false" customHeight="true" outlineLevel="0" collapsed="false">
      <c r="A19" s="25" t="s">
        <v>423</v>
      </c>
      <c r="B19" s="28" t="s">
        <v>424</v>
      </c>
      <c r="C19" s="41" t="n">
        <v>240</v>
      </c>
      <c r="D19" s="34" t="s">
        <v>425</v>
      </c>
      <c r="E19" s="31" t="s">
        <v>426</v>
      </c>
      <c r="G19" s="32" t="n">
        <v>240</v>
      </c>
      <c r="H19" s="32" t="n">
        <v>26</v>
      </c>
    </row>
    <row r="20" customFormat="false" ht="15" hidden="false" customHeight="true" outlineLevel="0" collapsed="false">
      <c r="A20" s="25" t="s">
        <v>427</v>
      </c>
      <c r="B20" s="28" t="s">
        <v>428</v>
      </c>
      <c r="C20" s="42" t="n">
        <v>46174</v>
      </c>
      <c r="D20" s="34" t="s">
        <v>429</v>
      </c>
      <c r="E20" s="37" t="s">
        <v>225</v>
      </c>
      <c r="G20" s="32" t="n">
        <v>252</v>
      </c>
      <c r="H20" s="32" t="n">
        <v>27</v>
      </c>
    </row>
    <row r="21" customFormat="false" ht="15" hidden="false" customHeight="true" outlineLevel="0" collapsed="false">
      <c r="A21" s="25" t="s">
        <v>430</v>
      </c>
      <c r="B21" s="28" t="s">
        <v>431</v>
      </c>
      <c r="C21" s="33" t="n">
        <v>90501</v>
      </c>
      <c r="D21" s="34" t="s">
        <v>432</v>
      </c>
      <c r="E21" s="31" t="s">
        <v>433</v>
      </c>
      <c r="G21" s="32" t="n">
        <v>264</v>
      </c>
      <c r="H21" s="32" t="n">
        <v>28</v>
      </c>
    </row>
    <row r="22" customFormat="false" ht="15" hidden="false" customHeight="true" outlineLevel="0" collapsed="false">
      <c r="A22" s="25" t="s">
        <v>434</v>
      </c>
      <c r="B22" s="28" t="s">
        <v>435</v>
      </c>
      <c r="C22" s="33" t="n">
        <v>8417</v>
      </c>
      <c r="D22" s="34" t="s">
        <v>436</v>
      </c>
      <c r="E22" s="31" t="s">
        <v>437</v>
      </c>
      <c r="G22" s="32" t="n">
        <v>276</v>
      </c>
      <c r="H22" s="32" t="n">
        <v>29</v>
      </c>
    </row>
    <row r="23" customFormat="false" ht="15" hidden="false" customHeight="true" outlineLevel="0" collapsed="false">
      <c r="A23" s="25" t="s">
        <v>438</v>
      </c>
      <c r="B23" s="28" t="s">
        <v>439</v>
      </c>
      <c r="C23" s="43" t="n">
        <v>0.05</v>
      </c>
      <c r="D23" s="34" t="s">
        <v>440</v>
      </c>
      <c r="E23" s="31" t="s">
        <v>354</v>
      </c>
      <c r="G23" s="32" t="n">
        <v>288</v>
      </c>
      <c r="H23" s="32" t="n">
        <v>30</v>
      </c>
    </row>
    <row r="24" customFormat="false" ht="39" hidden="false" customHeight="true" outlineLevel="0" collapsed="false">
      <c r="A24" s="25" t="s">
        <v>441</v>
      </c>
      <c r="B24" s="28" t="s">
        <v>442</v>
      </c>
      <c r="C24" s="33" t="n">
        <v>2000</v>
      </c>
      <c r="D24" s="34" t="s">
        <v>443</v>
      </c>
      <c r="E24" s="31" t="s">
        <v>444</v>
      </c>
      <c r="G24" s="44" t="s">
        <v>445</v>
      </c>
    </row>
    <row r="25" customFormat="false" ht="15" hidden="false" customHeight="true" outlineLevel="0" collapsed="false">
      <c r="A25" s="25" t="s">
        <v>446</v>
      </c>
      <c r="B25" s="28" t="s">
        <v>447</v>
      </c>
      <c r="C25" s="45" t="n">
        <f aca="false">ROUND(C4*1.5,0)</f>
        <v>44250</v>
      </c>
      <c r="D25" s="34" t="s">
        <v>448</v>
      </c>
      <c r="E25" s="31" t="s">
        <v>354</v>
      </c>
    </row>
    <row r="26" customFormat="false" ht="15" hidden="false" customHeight="true" outlineLevel="0" collapsed="false">
      <c r="A26" s="25" t="s">
        <v>449</v>
      </c>
      <c r="B26" s="28" t="s">
        <v>450</v>
      </c>
      <c r="C26" s="43" t="n">
        <v>0.06</v>
      </c>
      <c r="D26" s="34" t="s">
        <v>451</v>
      </c>
      <c r="E26" s="31" t="s">
        <v>375</v>
      </c>
    </row>
    <row r="27" customFormat="false" ht="15" hidden="false" customHeight="true" outlineLevel="0" collapsed="false">
      <c r="A27" s="25" t="s">
        <v>452</v>
      </c>
      <c r="B27" s="28" t="s">
        <v>453</v>
      </c>
      <c r="C27" s="43" t="n">
        <v>0.18</v>
      </c>
      <c r="D27" s="34"/>
      <c r="E27" s="31" t="s">
        <v>375</v>
      </c>
    </row>
    <row r="28" customFormat="false" ht="26.25" hidden="false" customHeight="true" outlineLevel="0" collapsed="false">
      <c r="A28" s="25" t="s">
        <v>454</v>
      </c>
      <c r="B28" s="28" t="s">
        <v>455</v>
      </c>
      <c r="C28" s="33" t="n">
        <v>3000</v>
      </c>
      <c r="D28" s="34" t="s">
        <v>456</v>
      </c>
      <c r="E28" s="31" t="s">
        <v>457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8"/>
    <col collapsed="false" customWidth="true" hidden="false" outlineLevel="0" max="4" min="4" style="1" width="20"/>
  </cols>
  <sheetData>
    <row r="1" customFormat="false" ht="25.5" hidden="false" customHeight="true" outlineLevel="0" collapsed="false">
      <c r="A1" s="46" t="s">
        <v>458</v>
      </c>
      <c r="B1" s="46"/>
      <c r="C1" s="46"/>
      <c r="D1" s="46"/>
    </row>
    <row r="2" customFormat="false" ht="26.25" hidden="false" customHeight="true" outlineLevel="0" collapsed="false">
      <c r="A2" s="47" t="s">
        <v>459</v>
      </c>
      <c r="B2" s="47"/>
      <c r="C2" s="47"/>
      <c r="D2" s="47"/>
    </row>
    <row r="3" customFormat="false" ht="15" hidden="false" customHeight="true" outlineLevel="0" collapsed="false">
      <c r="A3" s="24" t="s">
        <v>460</v>
      </c>
      <c r="B3" s="24" t="s">
        <v>461</v>
      </c>
      <c r="C3" s="24" t="s">
        <v>462</v>
      </c>
      <c r="D3" s="24" t="s">
        <v>463</v>
      </c>
    </row>
    <row r="4" customFormat="false" ht="15" hidden="false" customHeight="true" outlineLevel="0" collapsed="false">
      <c r="A4" s="32" t="n">
        <v>1</v>
      </c>
      <c r="B4" s="45" t="n">
        <v>0</v>
      </c>
      <c r="C4" s="45" t="n">
        <v>29500</v>
      </c>
      <c r="D4" s="48" t="n">
        <v>29500</v>
      </c>
    </row>
    <row r="5" customFormat="false" ht="15" hidden="false" customHeight="true" outlineLevel="0" collapsed="false">
      <c r="A5" s="32" t="n">
        <v>2</v>
      </c>
      <c r="B5" s="45" t="n">
        <v>29501</v>
      </c>
      <c r="C5" s="45" t="n">
        <v>30300</v>
      </c>
      <c r="D5" s="48" t="n">
        <v>30300</v>
      </c>
    </row>
    <row r="6" customFormat="false" ht="15" hidden="false" customHeight="true" outlineLevel="0" collapsed="false">
      <c r="A6" s="32" t="n">
        <v>3</v>
      </c>
      <c r="B6" s="45" t="n">
        <v>30301</v>
      </c>
      <c r="C6" s="45" t="n">
        <v>31800</v>
      </c>
      <c r="D6" s="48" t="n">
        <v>31800</v>
      </c>
    </row>
    <row r="7" customFormat="false" ht="15" hidden="false" customHeight="true" outlineLevel="0" collapsed="false">
      <c r="A7" s="32" t="n">
        <v>4</v>
      </c>
      <c r="B7" s="45" t="n">
        <v>31801</v>
      </c>
      <c r="C7" s="45" t="n">
        <v>33300</v>
      </c>
      <c r="D7" s="48" t="n">
        <v>33300</v>
      </c>
    </row>
    <row r="8" customFormat="false" ht="15" hidden="false" customHeight="true" outlineLevel="0" collapsed="false">
      <c r="A8" s="32" t="n">
        <v>5</v>
      </c>
      <c r="B8" s="45" t="n">
        <v>33301</v>
      </c>
      <c r="C8" s="45" t="n">
        <v>34800</v>
      </c>
      <c r="D8" s="48" t="n">
        <v>34800</v>
      </c>
    </row>
    <row r="9" customFormat="false" ht="15" hidden="false" customHeight="true" outlineLevel="0" collapsed="false">
      <c r="A9" s="32" t="n">
        <v>6</v>
      </c>
      <c r="B9" s="45" t="n">
        <v>34801</v>
      </c>
      <c r="C9" s="45" t="n">
        <v>36300</v>
      </c>
      <c r="D9" s="48" t="n">
        <v>36300</v>
      </c>
    </row>
    <row r="10" customFormat="false" ht="15" hidden="false" customHeight="true" outlineLevel="0" collapsed="false">
      <c r="A10" s="32" t="n">
        <v>7</v>
      </c>
      <c r="B10" s="45" t="n">
        <v>36301</v>
      </c>
      <c r="C10" s="45" t="n">
        <v>38200</v>
      </c>
      <c r="D10" s="48" t="n">
        <v>38200</v>
      </c>
    </row>
    <row r="11" customFormat="false" ht="15" hidden="false" customHeight="true" outlineLevel="0" collapsed="false">
      <c r="A11" s="32" t="n">
        <v>8</v>
      </c>
      <c r="B11" s="45" t="n">
        <v>38201</v>
      </c>
      <c r="C11" s="45" t="n">
        <v>40100</v>
      </c>
      <c r="D11" s="48" t="n">
        <v>40100</v>
      </c>
    </row>
    <row r="12" customFormat="false" ht="15" hidden="false" customHeight="true" outlineLevel="0" collapsed="false">
      <c r="A12" s="32" t="n">
        <v>9</v>
      </c>
      <c r="B12" s="45" t="n">
        <v>40101</v>
      </c>
      <c r="C12" s="45" t="n">
        <v>42000</v>
      </c>
      <c r="D12" s="48" t="n">
        <v>42000</v>
      </c>
    </row>
    <row r="13" customFormat="false" ht="15" hidden="false" customHeight="true" outlineLevel="0" collapsed="false">
      <c r="A13" s="32" t="n">
        <v>10</v>
      </c>
      <c r="B13" s="45" t="n">
        <v>42001</v>
      </c>
      <c r="C13" s="45" t="n">
        <v>43900</v>
      </c>
      <c r="D13" s="48" t="n">
        <v>43900</v>
      </c>
    </row>
    <row r="14" customFormat="false" ht="15" hidden="false" customHeight="true" outlineLevel="0" collapsed="false">
      <c r="A14" s="32" t="n">
        <v>11</v>
      </c>
      <c r="B14" s="45" t="n">
        <v>43901</v>
      </c>
      <c r="C14" s="49" t="s">
        <v>464</v>
      </c>
      <c r="D14" s="48" t="n">
        <v>45800</v>
      </c>
    </row>
    <row r="15" customFormat="false" ht="26.25" hidden="false" customHeight="true" outlineLevel="0" collapsed="false">
      <c r="A15" s="47" t="s">
        <v>465</v>
      </c>
      <c r="B15" s="47"/>
      <c r="C15" s="47"/>
      <c r="D15" s="47"/>
    </row>
  </sheetData>
  <mergeCells count="3">
    <mergeCell ref="A1:D1"/>
    <mergeCell ref="A2:D2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8"/>
    <col collapsed="false" customWidth="true" hidden="false" outlineLevel="0" max="4" min="4" style="1" width="20"/>
  </cols>
  <sheetData>
    <row r="1" customFormat="false" ht="25.5" hidden="false" customHeight="true" outlineLevel="0" collapsed="false">
      <c r="A1" s="46" t="s">
        <v>466</v>
      </c>
      <c r="B1" s="46"/>
      <c r="C1" s="46"/>
      <c r="D1" s="46"/>
    </row>
    <row r="2" customFormat="false" ht="24" hidden="false" customHeight="true" outlineLevel="0" collapsed="false">
      <c r="A2" s="47" t="s">
        <v>467</v>
      </c>
      <c r="B2" s="47"/>
      <c r="C2" s="47"/>
      <c r="D2" s="47"/>
    </row>
    <row r="3" customFormat="false" ht="15" hidden="false" customHeight="true" outlineLevel="0" collapsed="false">
      <c r="A3" s="24" t="s">
        <v>460</v>
      </c>
      <c r="B3" s="24" t="s">
        <v>461</v>
      </c>
      <c r="C3" s="24" t="s">
        <v>462</v>
      </c>
      <c r="D3" s="24" t="s">
        <v>463</v>
      </c>
    </row>
    <row r="4" customFormat="false" ht="15" hidden="false" customHeight="true" outlineLevel="0" collapsed="false">
      <c r="A4" s="32" t="n">
        <v>1</v>
      </c>
      <c r="B4" s="45" t="n">
        <v>0</v>
      </c>
      <c r="C4" s="45" t="n">
        <v>29500</v>
      </c>
      <c r="D4" s="48" t="n">
        <v>29500</v>
      </c>
    </row>
    <row r="5" customFormat="false" ht="15" hidden="false" customHeight="true" outlineLevel="0" collapsed="false">
      <c r="A5" s="32" t="n">
        <v>2</v>
      </c>
      <c r="B5" s="45" t="n">
        <v>29501</v>
      </c>
      <c r="C5" s="45" t="n">
        <v>30300</v>
      </c>
      <c r="D5" s="48" t="n">
        <v>30300</v>
      </c>
    </row>
    <row r="6" customFormat="false" ht="15" hidden="false" customHeight="true" outlineLevel="0" collapsed="false">
      <c r="A6" s="32" t="n">
        <v>3</v>
      </c>
      <c r="B6" s="45" t="n">
        <v>30301</v>
      </c>
      <c r="C6" s="45" t="n">
        <v>31800</v>
      </c>
      <c r="D6" s="48" t="n">
        <v>31800</v>
      </c>
    </row>
    <row r="7" customFormat="false" ht="15" hidden="false" customHeight="true" outlineLevel="0" collapsed="false">
      <c r="A7" s="32" t="n">
        <v>4</v>
      </c>
      <c r="B7" s="45" t="n">
        <v>31801</v>
      </c>
      <c r="C7" s="45" t="n">
        <v>33300</v>
      </c>
      <c r="D7" s="48" t="n">
        <v>33300</v>
      </c>
    </row>
    <row r="8" customFormat="false" ht="15" hidden="false" customHeight="true" outlineLevel="0" collapsed="false">
      <c r="A8" s="32" t="n">
        <v>5</v>
      </c>
      <c r="B8" s="45" t="n">
        <v>33301</v>
      </c>
      <c r="C8" s="45" t="n">
        <v>34800</v>
      </c>
      <c r="D8" s="48" t="n">
        <v>34800</v>
      </c>
    </row>
    <row r="9" customFormat="false" ht="15" hidden="false" customHeight="true" outlineLevel="0" collapsed="false">
      <c r="A9" s="32" t="n">
        <v>6</v>
      </c>
      <c r="B9" s="45" t="n">
        <v>34801</v>
      </c>
      <c r="C9" s="45" t="n">
        <v>36300</v>
      </c>
      <c r="D9" s="48" t="n">
        <v>36300</v>
      </c>
    </row>
    <row r="10" customFormat="false" ht="15" hidden="false" customHeight="true" outlineLevel="0" collapsed="false">
      <c r="A10" s="32" t="n">
        <v>7</v>
      </c>
      <c r="B10" s="45" t="n">
        <v>36301</v>
      </c>
      <c r="C10" s="45" t="n">
        <v>38200</v>
      </c>
      <c r="D10" s="48" t="n">
        <v>38200</v>
      </c>
    </row>
    <row r="11" customFormat="false" ht="15" hidden="false" customHeight="true" outlineLevel="0" collapsed="false">
      <c r="A11" s="32" t="n">
        <v>8</v>
      </c>
      <c r="B11" s="45" t="n">
        <v>38201</v>
      </c>
      <c r="C11" s="45" t="n">
        <v>40100</v>
      </c>
      <c r="D11" s="48" t="n">
        <v>40100</v>
      </c>
    </row>
    <row r="12" customFormat="false" ht="15" hidden="false" customHeight="true" outlineLevel="0" collapsed="false">
      <c r="A12" s="32" t="n">
        <v>9</v>
      </c>
      <c r="B12" s="45" t="n">
        <v>40101</v>
      </c>
      <c r="C12" s="45" t="n">
        <v>42000</v>
      </c>
      <c r="D12" s="48" t="n">
        <v>42000</v>
      </c>
    </row>
    <row r="13" customFormat="false" ht="15" hidden="false" customHeight="true" outlineLevel="0" collapsed="false">
      <c r="A13" s="32" t="n">
        <v>10</v>
      </c>
      <c r="B13" s="45" t="n">
        <v>42001</v>
      </c>
      <c r="C13" s="45" t="n">
        <v>43900</v>
      </c>
      <c r="D13" s="48" t="n">
        <v>43900</v>
      </c>
    </row>
    <row r="14" customFormat="false" ht="15" hidden="false" customHeight="true" outlineLevel="0" collapsed="false">
      <c r="A14" s="32" t="n">
        <v>11</v>
      </c>
      <c r="B14" s="45" t="n">
        <v>43901</v>
      </c>
      <c r="C14" s="45" t="n">
        <v>45800</v>
      </c>
      <c r="D14" s="48" t="n">
        <v>45800</v>
      </c>
    </row>
    <row r="15" customFormat="false" ht="15" hidden="false" customHeight="true" outlineLevel="0" collapsed="false">
      <c r="A15" s="32" t="n">
        <v>12</v>
      </c>
      <c r="B15" s="45" t="n">
        <v>45801</v>
      </c>
      <c r="C15" s="45" t="n">
        <v>48200</v>
      </c>
      <c r="D15" s="48" t="n">
        <v>48200</v>
      </c>
    </row>
    <row r="16" customFormat="false" ht="15" hidden="false" customHeight="true" outlineLevel="0" collapsed="false">
      <c r="A16" s="32" t="n">
        <v>13</v>
      </c>
      <c r="B16" s="45" t="n">
        <v>48201</v>
      </c>
      <c r="C16" s="45" t="n">
        <v>50600</v>
      </c>
      <c r="D16" s="48" t="n">
        <v>50600</v>
      </c>
    </row>
    <row r="17" customFormat="false" ht="15" hidden="false" customHeight="true" outlineLevel="0" collapsed="false">
      <c r="A17" s="32" t="n">
        <v>14</v>
      </c>
      <c r="B17" s="45" t="n">
        <v>50601</v>
      </c>
      <c r="C17" s="45" t="n">
        <v>53000</v>
      </c>
      <c r="D17" s="48" t="n">
        <v>53000</v>
      </c>
    </row>
    <row r="18" customFormat="false" ht="15" hidden="false" customHeight="true" outlineLevel="0" collapsed="false">
      <c r="A18" s="32" t="n">
        <v>15</v>
      </c>
      <c r="B18" s="45" t="n">
        <v>53001</v>
      </c>
      <c r="C18" s="45" t="n">
        <v>55400</v>
      </c>
      <c r="D18" s="48" t="n">
        <v>55400</v>
      </c>
    </row>
    <row r="19" customFormat="false" ht="15" hidden="false" customHeight="true" outlineLevel="0" collapsed="false">
      <c r="A19" s="32" t="n">
        <v>16</v>
      </c>
      <c r="B19" s="45" t="n">
        <v>55401</v>
      </c>
      <c r="C19" s="45" t="n">
        <v>57800</v>
      </c>
      <c r="D19" s="48" t="n">
        <v>57800</v>
      </c>
    </row>
    <row r="20" customFormat="false" ht="15" hidden="false" customHeight="true" outlineLevel="0" collapsed="false">
      <c r="A20" s="32" t="n">
        <v>17</v>
      </c>
      <c r="B20" s="45" t="n">
        <v>57801</v>
      </c>
      <c r="C20" s="45" t="n">
        <v>60800</v>
      </c>
      <c r="D20" s="48" t="n">
        <v>60800</v>
      </c>
    </row>
    <row r="21" customFormat="false" ht="15" hidden="false" customHeight="true" outlineLevel="0" collapsed="false">
      <c r="A21" s="32" t="n">
        <v>18</v>
      </c>
      <c r="B21" s="45" t="n">
        <v>60801</v>
      </c>
      <c r="C21" s="45" t="n">
        <v>63800</v>
      </c>
      <c r="D21" s="48" t="n">
        <v>63800</v>
      </c>
    </row>
    <row r="22" customFormat="false" ht="15" hidden="false" customHeight="true" outlineLevel="0" collapsed="false">
      <c r="A22" s="32" t="n">
        <v>19</v>
      </c>
      <c r="B22" s="45" t="n">
        <v>63801</v>
      </c>
      <c r="C22" s="45" t="n">
        <v>66800</v>
      </c>
      <c r="D22" s="48" t="n">
        <v>66800</v>
      </c>
    </row>
    <row r="23" customFormat="false" ht="15" hidden="false" customHeight="true" outlineLevel="0" collapsed="false">
      <c r="A23" s="32" t="n">
        <v>20</v>
      </c>
      <c r="B23" s="45" t="n">
        <v>66801</v>
      </c>
      <c r="C23" s="45" t="n">
        <v>69800</v>
      </c>
      <c r="D23" s="48" t="n">
        <v>69800</v>
      </c>
    </row>
    <row r="24" customFormat="false" ht="15" hidden="false" customHeight="true" outlineLevel="0" collapsed="false">
      <c r="A24" s="32" t="n">
        <v>21</v>
      </c>
      <c r="B24" s="45" t="n">
        <v>69801</v>
      </c>
      <c r="C24" s="49" t="s">
        <v>468</v>
      </c>
      <c r="D24" s="48" t="n">
        <v>72800</v>
      </c>
    </row>
    <row r="25" customFormat="false" ht="26.25" hidden="false" customHeight="true" outlineLevel="0" collapsed="false">
      <c r="A25" s="47" t="s">
        <v>465</v>
      </c>
      <c r="B25" s="47"/>
      <c r="C25" s="47"/>
      <c r="D25" s="47"/>
    </row>
  </sheetData>
  <mergeCells count="3">
    <mergeCell ref="A1:D1"/>
    <mergeCell ref="A2:D2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8"/>
    <col collapsed="false" customWidth="true" hidden="false" outlineLevel="0" max="4" min="4" style="1" width="20"/>
  </cols>
  <sheetData>
    <row r="1" customFormat="false" ht="25.5" hidden="false" customHeight="true" outlineLevel="0" collapsed="false">
      <c r="A1" s="46" t="s">
        <v>469</v>
      </c>
      <c r="B1" s="46"/>
      <c r="C1" s="46"/>
      <c r="D1" s="46"/>
    </row>
    <row r="2" customFormat="false" ht="26.25" hidden="false" customHeight="true" outlineLevel="0" collapsed="false">
      <c r="A2" s="47" t="s">
        <v>470</v>
      </c>
      <c r="B2" s="47"/>
      <c r="C2" s="47"/>
      <c r="D2" s="47"/>
    </row>
    <row r="3" customFormat="false" ht="15" hidden="false" customHeight="true" outlineLevel="0" collapsed="false">
      <c r="A3" s="24" t="s">
        <v>460</v>
      </c>
      <c r="B3" s="24" t="s">
        <v>461</v>
      </c>
      <c r="C3" s="24" t="s">
        <v>462</v>
      </c>
      <c r="D3" s="24" t="s">
        <v>463</v>
      </c>
    </row>
    <row r="4" customFormat="false" ht="15" hidden="false" customHeight="true" outlineLevel="0" collapsed="false">
      <c r="A4" s="32" t="n">
        <v>1</v>
      </c>
      <c r="B4" s="45" t="n">
        <v>0</v>
      </c>
      <c r="C4" s="45" t="n">
        <v>29500</v>
      </c>
      <c r="D4" s="48" t="n">
        <v>29500</v>
      </c>
    </row>
    <row r="5" customFormat="false" ht="15" hidden="false" customHeight="true" outlineLevel="0" collapsed="false">
      <c r="A5" s="32" t="n">
        <v>2</v>
      </c>
      <c r="B5" s="45" t="n">
        <v>29501</v>
      </c>
      <c r="C5" s="45" t="n">
        <v>30300</v>
      </c>
      <c r="D5" s="48" t="n">
        <v>30300</v>
      </c>
    </row>
    <row r="6" customFormat="false" ht="15" hidden="false" customHeight="true" outlineLevel="0" collapsed="false">
      <c r="A6" s="32" t="n">
        <v>3</v>
      </c>
      <c r="B6" s="45" t="n">
        <v>30301</v>
      </c>
      <c r="C6" s="45" t="n">
        <v>31800</v>
      </c>
      <c r="D6" s="48" t="n">
        <v>31800</v>
      </c>
    </row>
    <row r="7" customFormat="false" ht="15" hidden="false" customHeight="true" outlineLevel="0" collapsed="false">
      <c r="A7" s="32" t="n">
        <v>4</v>
      </c>
      <c r="B7" s="45" t="n">
        <v>31801</v>
      </c>
      <c r="C7" s="45" t="n">
        <v>33300</v>
      </c>
      <c r="D7" s="48" t="n">
        <v>33300</v>
      </c>
    </row>
    <row r="8" customFormat="false" ht="15" hidden="false" customHeight="true" outlineLevel="0" collapsed="false">
      <c r="A8" s="32" t="n">
        <v>5</v>
      </c>
      <c r="B8" s="45" t="n">
        <v>33301</v>
      </c>
      <c r="C8" s="45" t="n">
        <v>34800</v>
      </c>
      <c r="D8" s="48" t="n">
        <v>34800</v>
      </c>
    </row>
    <row r="9" customFormat="false" ht="15" hidden="false" customHeight="true" outlineLevel="0" collapsed="false">
      <c r="A9" s="32" t="n">
        <v>6</v>
      </c>
      <c r="B9" s="45" t="n">
        <v>34801</v>
      </c>
      <c r="C9" s="45" t="n">
        <v>36300</v>
      </c>
      <c r="D9" s="48" t="n">
        <v>36300</v>
      </c>
    </row>
    <row r="10" customFormat="false" ht="15" hidden="false" customHeight="true" outlineLevel="0" collapsed="false">
      <c r="A10" s="32" t="n">
        <v>7</v>
      </c>
      <c r="B10" s="45" t="n">
        <v>36301</v>
      </c>
      <c r="C10" s="45" t="n">
        <v>38200</v>
      </c>
      <c r="D10" s="48" t="n">
        <v>38200</v>
      </c>
    </row>
    <row r="11" customFormat="false" ht="15" hidden="false" customHeight="true" outlineLevel="0" collapsed="false">
      <c r="A11" s="32" t="n">
        <v>8</v>
      </c>
      <c r="B11" s="45" t="n">
        <v>38201</v>
      </c>
      <c r="C11" s="45" t="n">
        <v>40100</v>
      </c>
      <c r="D11" s="48" t="n">
        <v>40100</v>
      </c>
    </row>
    <row r="12" customFormat="false" ht="15" hidden="false" customHeight="true" outlineLevel="0" collapsed="false">
      <c r="A12" s="32" t="n">
        <v>9</v>
      </c>
      <c r="B12" s="45" t="n">
        <v>40101</v>
      </c>
      <c r="C12" s="45" t="n">
        <v>42000</v>
      </c>
      <c r="D12" s="48" t="n">
        <v>42000</v>
      </c>
    </row>
    <row r="13" customFormat="false" ht="15" hidden="false" customHeight="true" outlineLevel="0" collapsed="false">
      <c r="A13" s="32" t="n">
        <v>10</v>
      </c>
      <c r="B13" s="45" t="n">
        <v>42001</v>
      </c>
      <c r="C13" s="45" t="n">
        <v>43900</v>
      </c>
      <c r="D13" s="48" t="n">
        <v>43900</v>
      </c>
    </row>
    <row r="14" customFormat="false" ht="15" hidden="false" customHeight="true" outlineLevel="0" collapsed="false">
      <c r="A14" s="32" t="n">
        <v>11</v>
      </c>
      <c r="B14" s="45" t="n">
        <v>43901</v>
      </c>
      <c r="C14" s="45" t="n">
        <v>45800</v>
      </c>
      <c r="D14" s="48" t="n">
        <v>45800</v>
      </c>
    </row>
    <row r="15" customFormat="false" ht="15" hidden="false" customHeight="true" outlineLevel="0" collapsed="false">
      <c r="A15" s="32" t="n">
        <v>12</v>
      </c>
      <c r="B15" s="45" t="n">
        <v>45801</v>
      </c>
      <c r="C15" s="45" t="n">
        <v>48200</v>
      </c>
      <c r="D15" s="48" t="n">
        <v>48200</v>
      </c>
    </row>
    <row r="16" customFormat="false" ht="15" hidden="false" customHeight="true" outlineLevel="0" collapsed="false">
      <c r="A16" s="32" t="n">
        <v>13</v>
      </c>
      <c r="B16" s="45" t="n">
        <v>48201</v>
      </c>
      <c r="C16" s="45" t="n">
        <v>50600</v>
      </c>
      <c r="D16" s="48" t="n">
        <v>50600</v>
      </c>
    </row>
    <row r="17" customFormat="false" ht="15" hidden="false" customHeight="true" outlineLevel="0" collapsed="false">
      <c r="A17" s="32" t="n">
        <v>14</v>
      </c>
      <c r="B17" s="45" t="n">
        <v>50601</v>
      </c>
      <c r="C17" s="45" t="n">
        <v>53000</v>
      </c>
      <c r="D17" s="48" t="n">
        <v>53000</v>
      </c>
    </row>
    <row r="18" customFormat="false" ht="15" hidden="false" customHeight="true" outlineLevel="0" collapsed="false">
      <c r="A18" s="32" t="n">
        <v>15</v>
      </c>
      <c r="B18" s="45" t="n">
        <v>53001</v>
      </c>
      <c r="C18" s="45" t="n">
        <v>55400</v>
      </c>
      <c r="D18" s="48" t="n">
        <v>55400</v>
      </c>
    </row>
    <row r="19" customFormat="false" ht="15" hidden="false" customHeight="true" outlineLevel="0" collapsed="false">
      <c r="A19" s="32" t="n">
        <v>16</v>
      </c>
      <c r="B19" s="45" t="n">
        <v>55401</v>
      </c>
      <c r="C19" s="45" t="n">
        <v>57800</v>
      </c>
      <c r="D19" s="48" t="n">
        <v>57800</v>
      </c>
    </row>
    <row r="20" customFormat="false" ht="15" hidden="false" customHeight="true" outlineLevel="0" collapsed="false">
      <c r="A20" s="32" t="n">
        <v>17</v>
      </c>
      <c r="B20" s="45" t="n">
        <v>57801</v>
      </c>
      <c r="C20" s="45" t="n">
        <v>60800</v>
      </c>
      <c r="D20" s="48" t="n">
        <v>60800</v>
      </c>
    </row>
    <row r="21" customFormat="false" ht="15" hidden="false" customHeight="true" outlineLevel="0" collapsed="false">
      <c r="A21" s="32" t="n">
        <v>18</v>
      </c>
      <c r="B21" s="45" t="n">
        <v>60801</v>
      </c>
      <c r="C21" s="45" t="n">
        <v>63800</v>
      </c>
      <c r="D21" s="48" t="n">
        <v>63800</v>
      </c>
    </row>
    <row r="22" customFormat="false" ht="15" hidden="false" customHeight="true" outlineLevel="0" collapsed="false">
      <c r="A22" s="32" t="n">
        <v>19</v>
      </c>
      <c r="B22" s="45" t="n">
        <v>63801</v>
      </c>
      <c r="C22" s="45" t="n">
        <v>66800</v>
      </c>
      <c r="D22" s="48" t="n">
        <v>66800</v>
      </c>
    </row>
    <row r="23" customFormat="false" ht="15" hidden="false" customHeight="true" outlineLevel="0" collapsed="false">
      <c r="A23" s="32" t="n">
        <v>20</v>
      </c>
      <c r="B23" s="45" t="n">
        <v>66801</v>
      </c>
      <c r="C23" s="45" t="n">
        <v>69800</v>
      </c>
      <c r="D23" s="48" t="n">
        <v>69800</v>
      </c>
    </row>
    <row r="24" customFormat="false" ht="15" hidden="false" customHeight="true" outlineLevel="0" collapsed="false">
      <c r="A24" s="32" t="n">
        <v>21</v>
      </c>
      <c r="B24" s="45" t="n">
        <v>69801</v>
      </c>
      <c r="C24" s="45" t="n">
        <v>72800</v>
      </c>
      <c r="D24" s="48" t="n">
        <v>72800</v>
      </c>
    </row>
    <row r="25" customFormat="false" ht="15" hidden="false" customHeight="true" outlineLevel="0" collapsed="false">
      <c r="A25" s="32" t="n">
        <v>22</v>
      </c>
      <c r="B25" s="45" t="n">
        <v>72801</v>
      </c>
      <c r="C25" s="45" t="n">
        <v>76500</v>
      </c>
      <c r="D25" s="48" t="n">
        <v>76500</v>
      </c>
    </row>
    <row r="26" customFormat="false" ht="15" hidden="false" customHeight="true" outlineLevel="0" collapsed="false">
      <c r="A26" s="32" t="n">
        <v>23</v>
      </c>
      <c r="B26" s="45" t="n">
        <v>76501</v>
      </c>
      <c r="C26" s="45" t="n">
        <v>80200</v>
      </c>
      <c r="D26" s="48" t="n">
        <v>80200</v>
      </c>
    </row>
    <row r="27" customFormat="false" ht="15" hidden="false" customHeight="true" outlineLevel="0" collapsed="false">
      <c r="A27" s="32" t="n">
        <v>24</v>
      </c>
      <c r="B27" s="45" t="n">
        <v>80201</v>
      </c>
      <c r="C27" s="45" t="n">
        <v>83900</v>
      </c>
      <c r="D27" s="48" t="n">
        <v>83900</v>
      </c>
    </row>
    <row r="28" customFormat="false" ht="15" hidden="false" customHeight="true" outlineLevel="0" collapsed="false">
      <c r="A28" s="32" t="n">
        <v>25</v>
      </c>
      <c r="B28" s="45" t="n">
        <v>83901</v>
      </c>
      <c r="C28" s="45" t="n">
        <v>87600</v>
      </c>
      <c r="D28" s="48" t="n">
        <v>87600</v>
      </c>
    </row>
    <row r="29" customFormat="false" ht="15" hidden="false" customHeight="true" outlineLevel="0" collapsed="false">
      <c r="A29" s="32" t="n">
        <v>26</v>
      </c>
      <c r="B29" s="45" t="n">
        <v>87601</v>
      </c>
      <c r="C29" s="45" t="n">
        <v>92100</v>
      </c>
      <c r="D29" s="48" t="n">
        <v>92100</v>
      </c>
    </row>
    <row r="30" customFormat="false" ht="15" hidden="false" customHeight="true" outlineLevel="0" collapsed="false">
      <c r="A30" s="32" t="n">
        <v>27</v>
      </c>
      <c r="B30" s="45" t="n">
        <v>92101</v>
      </c>
      <c r="C30" s="45" t="n">
        <v>96600</v>
      </c>
      <c r="D30" s="48" t="n">
        <v>96600</v>
      </c>
    </row>
    <row r="31" customFormat="false" ht="15" hidden="false" customHeight="true" outlineLevel="0" collapsed="false">
      <c r="A31" s="32" t="n">
        <v>28</v>
      </c>
      <c r="B31" s="45" t="n">
        <v>96601</v>
      </c>
      <c r="C31" s="45" t="n">
        <v>101100</v>
      </c>
      <c r="D31" s="48" t="n">
        <v>101100</v>
      </c>
    </row>
    <row r="32" customFormat="false" ht="15" hidden="false" customHeight="true" outlineLevel="0" collapsed="false">
      <c r="A32" s="32" t="n">
        <v>29</v>
      </c>
      <c r="B32" s="45" t="n">
        <v>101101</v>
      </c>
      <c r="C32" s="45" t="n">
        <v>105600</v>
      </c>
      <c r="D32" s="48" t="n">
        <v>105600</v>
      </c>
    </row>
    <row r="33" customFormat="false" ht="15" hidden="false" customHeight="true" outlineLevel="0" collapsed="false">
      <c r="A33" s="32" t="n">
        <v>30</v>
      </c>
      <c r="B33" s="45" t="n">
        <v>105601</v>
      </c>
      <c r="C33" s="45" t="n">
        <v>110100</v>
      </c>
      <c r="D33" s="48" t="n">
        <v>110100</v>
      </c>
    </row>
    <row r="34" customFormat="false" ht="15" hidden="false" customHeight="true" outlineLevel="0" collapsed="false">
      <c r="A34" s="32" t="n">
        <v>31</v>
      </c>
      <c r="B34" s="45" t="n">
        <v>110101</v>
      </c>
      <c r="C34" s="45" t="n">
        <v>115500</v>
      </c>
      <c r="D34" s="48" t="n">
        <v>115500</v>
      </c>
    </row>
    <row r="35" customFormat="false" ht="15" hidden="false" customHeight="true" outlineLevel="0" collapsed="false">
      <c r="A35" s="32" t="n">
        <v>32</v>
      </c>
      <c r="B35" s="45" t="n">
        <v>115501</v>
      </c>
      <c r="C35" s="45" t="n">
        <v>120900</v>
      </c>
      <c r="D35" s="48" t="n">
        <v>120900</v>
      </c>
    </row>
    <row r="36" customFormat="false" ht="15" hidden="false" customHeight="true" outlineLevel="0" collapsed="false">
      <c r="A36" s="32" t="n">
        <v>33</v>
      </c>
      <c r="B36" s="45" t="n">
        <v>120901</v>
      </c>
      <c r="C36" s="45" t="n">
        <v>126300</v>
      </c>
      <c r="D36" s="48" t="n">
        <v>126300</v>
      </c>
    </row>
    <row r="37" customFormat="false" ht="15" hidden="false" customHeight="true" outlineLevel="0" collapsed="false">
      <c r="A37" s="32" t="n">
        <v>34</v>
      </c>
      <c r="B37" s="45" t="n">
        <v>126301</v>
      </c>
      <c r="C37" s="45" t="n">
        <v>131700</v>
      </c>
      <c r="D37" s="48" t="n">
        <v>131700</v>
      </c>
    </row>
    <row r="38" customFormat="false" ht="15" hidden="false" customHeight="true" outlineLevel="0" collapsed="false">
      <c r="A38" s="32" t="n">
        <v>35</v>
      </c>
      <c r="B38" s="45" t="n">
        <v>131701</v>
      </c>
      <c r="C38" s="45" t="n">
        <v>137100</v>
      </c>
      <c r="D38" s="48" t="n">
        <v>137100</v>
      </c>
    </row>
    <row r="39" customFormat="false" ht="15" hidden="false" customHeight="true" outlineLevel="0" collapsed="false">
      <c r="A39" s="32" t="n">
        <v>36</v>
      </c>
      <c r="B39" s="45" t="n">
        <v>137101</v>
      </c>
      <c r="C39" s="45" t="n">
        <v>142500</v>
      </c>
      <c r="D39" s="48" t="n">
        <v>142500</v>
      </c>
    </row>
    <row r="40" customFormat="false" ht="15" hidden="false" customHeight="true" outlineLevel="0" collapsed="false">
      <c r="A40" s="32" t="n">
        <v>37</v>
      </c>
      <c r="B40" s="45" t="n">
        <v>142501</v>
      </c>
      <c r="C40" s="45" t="n">
        <v>147900</v>
      </c>
      <c r="D40" s="48" t="n">
        <v>147900</v>
      </c>
    </row>
    <row r="41" customFormat="false" ht="15" hidden="false" customHeight="true" outlineLevel="0" collapsed="false">
      <c r="A41" s="32" t="n">
        <v>38</v>
      </c>
      <c r="B41" s="45" t="n">
        <v>147901</v>
      </c>
      <c r="C41" s="45" t="n">
        <v>150000</v>
      </c>
      <c r="D41" s="48" t="n">
        <v>150000</v>
      </c>
    </row>
    <row r="42" customFormat="false" ht="15" hidden="false" customHeight="true" outlineLevel="0" collapsed="false">
      <c r="A42" s="32" t="n">
        <v>39</v>
      </c>
      <c r="B42" s="45" t="n">
        <v>150001</v>
      </c>
      <c r="C42" s="45" t="n">
        <v>156400</v>
      </c>
      <c r="D42" s="48" t="n">
        <v>156400</v>
      </c>
    </row>
    <row r="43" customFormat="false" ht="15" hidden="false" customHeight="true" outlineLevel="0" collapsed="false">
      <c r="A43" s="32" t="n">
        <v>40</v>
      </c>
      <c r="B43" s="45" t="n">
        <v>156401</v>
      </c>
      <c r="C43" s="45" t="n">
        <v>162800</v>
      </c>
      <c r="D43" s="48" t="n">
        <v>162800</v>
      </c>
    </row>
    <row r="44" customFormat="false" ht="15" hidden="false" customHeight="true" outlineLevel="0" collapsed="false">
      <c r="A44" s="32" t="n">
        <v>41</v>
      </c>
      <c r="B44" s="45" t="n">
        <v>162801</v>
      </c>
      <c r="C44" s="45" t="n">
        <v>169200</v>
      </c>
      <c r="D44" s="48" t="n">
        <v>169200</v>
      </c>
    </row>
    <row r="45" customFormat="false" ht="15" hidden="false" customHeight="true" outlineLevel="0" collapsed="false">
      <c r="A45" s="32" t="n">
        <v>42</v>
      </c>
      <c r="B45" s="45" t="n">
        <v>169201</v>
      </c>
      <c r="C45" s="45" t="n">
        <v>175600</v>
      </c>
      <c r="D45" s="48" t="n">
        <v>175600</v>
      </c>
    </row>
    <row r="46" customFormat="false" ht="15" hidden="false" customHeight="true" outlineLevel="0" collapsed="false">
      <c r="A46" s="32" t="n">
        <v>43</v>
      </c>
      <c r="B46" s="45" t="n">
        <v>175601</v>
      </c>
      <c r="C46" s="45" t="n">
        <v>182000</v>
      </c>
      <c r="D46" s="48" t="n">
        <v>182000</v>
      </c>
    </row>
    <row r="47" customFormat="false" ht="15" hidden="false" customHeight="true" outlineLevel="0" collapsed="false">
      <c r="A47" s="32" t="n">
        <v>44</v>
      </c>
      <c r="B47" s="45" t="n">
        <v>182001</v>
      </c>
      <c r="C47" s="45" t="n">
        <v>189500</v>
      </c>
      <c r="D47" s="48" t="n">
        <v>189500</v>
      </c>
    </row>
    <row r="48" customFormat="false" ht="15" hidden="false" customHeight="true" outlineLevel="0" collapsed="false">
      <c r="A48" s="32" t="n">
        <v>45</v>
      </c>
      <c r="B48" s="45" t="n">
        <v>189501</v>
      </c>
      <c r="C48" s="45" t="n">
        <v>197000</v>
      </c>
      <c r="D48" s="48" t="n">
        <v>197000</v>
      </c>
    </row>
    <row r="49" customFormat="false" ht="15" hidden="false" customHeight="true" outlineLevel="0" collapsed="false">
      <c r="A49" s="32" t="n">
        <v>46</v>
      </c>
      <c r="B49" s="45" t="n">
        <v>197001</v>
      </c>
      <c r="C49" s="45" t="n">
        <v>204500</v>
      </c>
      <c r="D49" s="48" t="n">
        <v>204500</v>
      </c>
    </row>
    <row r="50" customFormat="false" ht="15" hidden="false" customHeight="true" outlineLevel="0" collapsed="false">
      <c r="A50" s="32" t="n">
        <v>47</v>
      </c>
      <c r="B50" s="45" t="n">
        <v>204501</v>
      </c>
      <c r="C50" s="45" t="n">
        <v>212000</v>
      </c>
      <c r="D50" s="48" t="n">
        <v>212000</v>
      </c>
    </row>
    <row r="51" customFormat="false" ht="15" hidden="false" customHeight="true" outlineLevel="0" collapsed="false">
      <c r="A51" s="32" t="n">
        <v>48</v>
      </c>
      <c r="B51" s="45" t="n">
        <v>212001</v>
      </c>
      <c r="C51" s="45" t="n">
        <v>219500</v>
      </c>
      <c r="D51" s="48" t="n">
        <v>219500</v>
      </c>
    </row>
    <row r="52" customFormat="false" ht="15" hidden="false" customHeight="true" outlineLevel="0" collapsed="false">
      <c r="A52" s="32" t="n">
        <v>49</v>
      </c>
      <c r="B52" s="45" t="n">
        <v>219501</v>
      </c>
      <c r="C52" s="45" t="n">
        <v>228200</v>
      </c>
      <c r="D52" s="48" t="n">
        <v>228200</v>
      </c>
    </row>
    <row r="53" customFormat="false" ht="15" hidden="false" customHeight="true" outlineLevel="0" collapsed="false">
      <c r="A53" s="32" t="n">
        <v>50</v>
      </c>
      <c r="B53" s="45" t="n">
        <v>228201</v>
      </c>
      <c r="C53" s="45" t="n">
        <v>236900</v>
      </c>
      <c r="D53" s="48" t="n">
        <v>236900</v>
      </c>
    </row>
    <row r="54" customFormat="false" ht="15" hidden="false" customHeight="true" outlineLevel="0" collapsed="false">
      <c r="A54" s="32" t="n">
        <v>51</v>
      </c>
      <c r="B54" s="45" t="n">
        <v>236901</v>
      </c>
      <c r="C54" s="45" t="n">
        <v>245600</v>
      </c>
      <c r="D54" s="48" t="n">
        <v>245600</v>
      </c>
    </row>
    <row r="55" customFormat="false" ht="15" hidden="false" customHeight="true" outlineLevel="0" collapsed="false">
      <c r="A55" s="32" t="n">
        <v>52</v>
      </c>
      <c r="B55" s="45" t="n">
        <v>245601</v>
      </c>
      <c r="C55" s="45" t="n">
        <v>254300</v>
      </c>
      <c r="D55" s="48" t="n">
        <v>254300</v>
      </c>
    </row>
    <row r="56" customFormat="false" ht="15" hidden="false" customHeight="true" outlineLevel="0" collapsed="false">
      <c r="A56" s="32" t="n">
        <v>53</v>
      </c>
      <c r="B56" s="45" t="n">
        <v>254301</v>
      </c>
      <c r="C56" s="45" t="n">
        <v>263000</v>
      </c>
      <c r="D56" s="48" t="n">
        <v>263000</v>
      </c>
    </row>
    <row r="57" customFormat="false" ht="15" hidden="false" customHeight="true" outlineLevel="0" collapsed="false">
      <c r="A57" s="32" t="n">
        <v>54</v>
      </c>
      <c r="B57" s="45" t="n">
        <v>263001</v>
      </c>
      <c r="C57" s="45" t="n">
        <v>273000</v>
      </c>
      <c r="D57" s="48" t="n">
        <v>273000</v>
      </c>
    </row>
    <row r="58" customFormat="false" ht="15" hidden="false" customHeight="true" outlineLevel="0" collapsed="false">
      <c r="A58" s="32" t="n">
        <v>55</v>
      </c>
      <c r="B58" s="45" t="n">
        <v>273001</v>
      </c>
      <c r="C58" s="45" t="n">
        <v>283000</v>
      </c>
      <c r="D58" s="48" t="n">
        <v>283000</v>
      </c>
    </row>
    <row r="59" customFormat="false" ht="15" hidden="false" customHeight="true" outlineLevel="0" collapsed="false">
      <c r="A59" s="32" t="n">
        <v>56</v>
      </c>
      <c r="B59" s="45" t="n">
        <v>283001</v>
      </c>
      <c r="C59" s="45" t="n">
        <v>293000</v>
      </c>
      <c r="D59" s="48" t="n">
        <v>293000</v>
      </c>
    </row>
    <row r="60" customFormat="false" ht="15" hidden="false" customHeight="true" outlineLevel="0" collapsed="false">
      <c r="A60" s="32" t="n">
        <v>57</v>
      </c>
      <c r="B60" s="45" t="n">
        <v>293001</v>
      </c>
      <c r="C60" s="45" t="n">
        <v>303000</v>
      </c>
      <c r="D60" s="48" t="n">
        <v>303000</v>
      </c>
    </row>
    <row r="61" customFormat="false" ht="15" hidden="false" customHeight="true" outlineLevel="0" collapsed="false">
      <c r="A61" s="32" t="n">
        <v>58</v>
      </c>
      <c r="B61" s="45" t="n">
        <v>303001</v>
      </c>
      <c r="C61" s="49" t="s">
        <v>471</v>
      </c>
      <c r="D61" s="48" t="n">
        <v>313000</v>
      </c>
    </row>
    <row r="62" customFormat="false" ht="26.25" hidden="false" customHeight="true" outlineLevel="0" collapsed="false">
      <c r="A62" s="47" t="s">
        <v>465</v>
      </c>
      <c r="B62" s="47"/>
      <c r="C62" s="47"/>
      <c r="D62" s="47"/>
    </row>
  </sheetData>
  <mergeCells count="3">
    <mergeCell ref="A1:D1"/>
    <mergeCell ref="A2:D2"/>
    <mergeCell ref="A62:D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8"/>
    <col collapsed="false" customWidth="true" hidden="false" outlineLevel="0" max="4" min="4" style="1" width="20"/>
  </cols>
  <sheetData>
    <row r="1" customFormat="false" ht="25.5" hidden="false" customHeight="true" outlineLevel="0" collapsed="false">
      <c r="A1" s="46" t="s">
        <v>472</v>
      </c>
      <c r="B1" s="46"/>
      <c r="C1" s="46"/>
      <c r="D1" s="46"/>
    </row>
    <row r="2" customFormat="false" ht="26.25" hidden="false" customHeight="true" outlineLevel="0" collapsed="false">
      <c r="A2" s="47" t="s">
        <v>473</v>
      </c>
      <c r="B2" s="47"/>
      <c r="C2" s="47"/>
      <c r="D2" s="47"/>
    </row>
    <row r="3" customFormat="false" ht="15" hidden="false" customHeight="true" outlineLevel="0" collapsed="false">
      <c r="A3" s="24" t="s">
        <v>460</v>
      </c>
      <c r="B3" s="24" t="s">
        <v>461</v>
      </c>
      <c r="C3" s="24" t="s">
        <v>462</v>
      </c>
      <c r="D3" s="24" t="s">
        <v>463</v>
      </c>
    </row>
    <row r="4" customFormat="false" ht="15" hidden="false" customHeight="true" outlineLevel="0" collapsed="false">
      <c r="A4" s="32" t="n">
        <v>1</v>
      </c>
      <c r="B4" s="45" t="n">
        <v>0</v>
      </c>
      <c r="C4" s="45" t="n">
        <v>1500</v>
      </c>
      <c r="D4" s="48" t="n">
        <v>1500</v>
      </c>
    </row>
    <row r="5" customFormat="false" ht="15" hidden="false" customHeight="true" outlineLevel="0" collapsed="false">
      <c r="A5" s="32" t="n">
        <v>2</v>
      </c>
      <c r="B5" s="45" t="n">
        <v>1501</v>
      </c>
      <c r="C5" s="45" t="n">
        <v>3000</v>
      </c>
      <c r="D5" s="48" t="n">
        <v>3000</v>
      </c>
    </row>
    <row r="6" customFormat="false" ht="15" hidden="false" customHeight="true" outlineLevel="0" collapsed="false">
      <c r="A6" s="32" t="n">
        <v>3</v>
      </c>
      <c r="B6" s="45" t="n">
        <v>3001</v>
      </c>
      <c r="C6" s="45" t="n">
        <v>4500</v>
      </c>
      <c r="D6" s="48" t="n">
        <v>4500</v>
      </c>
    </row>
    <row r="7" customFormat="false" ht="15" hidden="false" customHeight="true" outlineLevel="0" collapsed="false">
      <c r="A7" s="32" t="n">
        <v>4</v>
      </c>
      <c r="B7" s="45" t="n">
        <v>4501</v>
      </c>
      <c r="C7" s="45" t="n">
        <v>6000</v>
      </c>
      <c r="D7" s="48" t="n">
        <v>6000</v>
      </c>
    </row>
    <row r="8" customFormat="false" ht="15" hidden="false" customHeight="true" outlineLevel="0" collapsed="false">
      <c r="A8" s="32" t="n">
        <v>5</v>
      </c>
      <c r="B8" s="45" t="n">
        <v>6001</v>
      </c>
      <c r="C8" s="45" t="n">
        <v>7500</v>
      </c>
      <c r="D8" s="48" t="n">
        <v>7500</v>
      </c>
    </row>
    <row r="9" customFormat="false" ht="15" hidden="false" customHeight="true" outlineLevel="0" collapsed="false">
      <c r="A9" s="32" t="n">
        <v>6</v>
      </c>
      <c r="B9" s="45" t="n">
        <v>7501</v>
      </c>
      <c r="C9" s="45" t="n">
        <v>8700</v>
      </c>
      <c r="D9" s="48" t="n">
        <v>8700</v>
      </c>
    </row>
    <row r="10" customFormat="false" ht="15" hidden="false" customHeight="true" outlineLevel="0" collapsed="false">
      <c r="A10" s="32" t="n">
        <v>7</v>
      </c>
      <c r="B10" s="45" t="n">
        <v>8701</v>
      </c>
      <c r="C10" s="45" t="n">
        <v>9900</v>
      </c>
      <c r="D10" s="48" t="n">
        <v>9900</v>
      </c>
    </row>
    <row r="11" customFormat="false" ht="15" hidden="false" customHeight="true" outlineLevel="0" collapsed="false">
      <c r="A11" s="32" t="n">
        <v>8</v>
      </c>
      <c r="B11" s="45" t="n">
        <v>9901</v>
      </c>
      <c r="C11" s="45" t="n">
        <v>11100</v>
      </c>
      <c r="D11" s="48" t="n">
        <v>11100</v>
      </c>
    </row>
    <row r="12" customFormat="false" ht="15" hidden="false" customHeight="true" outlineLevel="0" collapsed="false">
      <c r="A12" s="32" t="n">
        <v>9</v>
      </c>
      <c r="B12" s="45" t="n">
        <v>11101</v>
      </c>
      <c r="C12" s="45" t="n">
        <v>12540</v>
      </c>
      <c r="D12" s="48" t="n">
        <v>12540</v>
      </c>
    </row>
    <row r="13" customFormat="false" ht="15" hidden="false" customHeight="true" outlineLevel="0" collapsed="false">
      <c r="A13" s="32" t="n">
        <v>10</v>
      </c>
      <c r="B13" s="45" t="n">
        <v>12541</v>
      </c>
      <c r="C13" s="45" t="n">
        <v>13500</v>
      </c>
      <c r="D13" s="48" t="n">
        <v>13500</v>
      </c>
    </row>
    <row r="14" customFormat="false" ht="15" hidden="false" customHeight="true" outlineLevel="0" collapsed="false">
      <c r="A14" s="32" t="n">
        <v>11</v>
      </c>
      <c r="B14" s="45" t="n">
        <v>13501</v>
      </c>
      <c r="C14" s="45" t="n">
        <v>15840</v>
      </c>
      <c r="D14" s="48" t="n">
        <v>15840</v>
      </c>
    </row>
    <row r="15" customFormat="false" ht="15" hidden="false" customHeight="true" outlineLevel="0" collapsed="false">
      <c r="A15" s="32" t="n">
        <v>12</v>
      </c>
      <c r="B15" s="45" t="n">
        <v>15841</v>
      </c>
      <c r="C15" s="45" t="n">
        <v>16500</v>
      </c>
      <c r="D15" s="48" t="n">
        <v>16500</v>
      </c>
    </row>
    <row r="16" customFormat="false" ht="15" hidden="false" customHeight="true" outlineLevel="0" collapsed="false">
      <c r="A16" s="32" t="n">
        <v>13</v>
      </c>
      <c r="B16" s="45" t="n">
        <v>16501</v>
      </c>
      <c r="C16" s="45" t="n">
        <v>17280</v>
      </c>
      <c r="D16" s="48" t="n">
        <v>17280</v>
      </c>
    </row>
    <row r="17" customFormat="false" ht="15" hidden="false" customHeight="true" outlineLevel="0" collapsed="false">
      <c r="A17" s="32" t="n">
        <v>14</v>
      </c>
      <c r="B17" s="45" t="n">
        <v>17281</v>
      </c>
      <c r="C17" s="45" t="n">
        <v>17880</v>
      </c>
      <c r="D17" s="48" t="n">
        <v>17880</v>
      </c>
    </row>
    <row r="18" customFormat="false" ht="15" hidden="false" customHeight="true" outlineLevel="0" collapsed="false">
      <c r="A18" s="32" t="n">
        <v>15</v>
      </c>
      <c r="B18" s="45" t="n">
        <v>17881</v>
      </c>
      <c r="C18" s="45" t="n">
        <v>19047</v>
      </c>
      <c r="D18" s="48" t="n">
        <v>19047</v>
      </c>
    </row>
    <row r="19" customFormat="false" ht="15" hidden="false" customHeight="true" outlineLevel="0" collapsed="false">
      <c r="A19" s="32" t="n">
        <v>16</v>
      </c>
      <c r="B19" s="45" t="n">
        <v>19048</v>
      </c>
      <c r="C19" s="45" t="n">
        <v>20008</v>
      </c>
      <c r="D19" s="48" t="n">
        <v>20008</v>
      </c>
    </row>
    <row r="20" customFormat="false" ht="15" hidden="false" customHeight="true" outlineLevel="0" collapsed="false">
      <c r="A20" s="32" t="n">
        <v>17</v>
      </c>
      <c r="B20" s="45" t="n">
        <v>20009</v>
      </c>
      <c r="C20" s="45" t="n">
        <v>21009</v>
      </c>
      <c r="D20" s="48" t="n">
        <v>21009</v>
      </c>
    </row>
    <row r="21" customFormat="false" ht="15" hidden="false" customHeight="true" outlineLevel="0" collapsed="false">
      <c r="A21" s="32" t="n">
        <v>18</v>
      </c>
      <c r="B21" s="45" t="n">
        <v>21010</v>
      </c>
      <c r="C21" s="45" t="n">
        <v>22000</v>
      </c>
      <c r="D21" s="48" t="n">
        <v>22000</v>
      </c>
    </row>
    <row r="22" customFormat="false" ht="15" hidden="false" customHeight="true" outlineLevel="0" collapsed="false">
      <c r="A22" s="32" t="n">
        <v>19</v>
      </c>
      <c r="B22" s="45" t="n">
        <v>22001</v>
      </c>
      <c r="C22" s="45" t="n">
        <v>23100</v>
      </c>
      <c r="D22" s="48" t="n">
        <v>23100</v>
      </c>
    </row>
    <row r="23" customFormat="false" ht="15" hidden="false" customHeight="true" outlineLevel="0" collapsed="false">
      <c r="A23" s="32" t="n">
        <v>20</v>
      </c>
      <c r="B23" s="45" t="n">
        <v>23101</v>
      </c>
      <c r="C23" s="45" t="n">
        <v>24000</v>
      </c>
      <c r="D23" s="48" t="n">
        <v>24000</v>
      </c>
    </row>
    <row r="24" customFormat="false" ht="15" hidden="false" customHeight="true" outlineLevel="0" collapsed="false">
      <c r="A24" s="32" t="n">
        <v>21</v>
      </c>
      <c r="B24" s="45" t="n">
        <v>24001</v>
      </c>
      <c r="C24" s="45" t="n">
        <v>25250</v>
      </c>
      <c r="D24" s="48" t="n">
        <v>25250</v>
      </c>
    </row>
    <row r="25" customFormat="false" ht="15" hidden="false" customHeight="true" outlineLevel="0" collapsed="false">
      <c r="A25" s="32" t="n">
        <v>22</v>
      </c>
      <c r="B25" s="45" t="n">
        <v>25251</v>
      </c>
      <c r="C25" s="45" t="n">
        <v>26400</v>
      </c>
      <c r="D25" s="48" t="n">
        <v>26400</v>
      </c>
    </row>
    <row r="26" customFormat="false" ht="15" hidden="false" customHeight="true" outlineLevel="0" collapsed="false">
      <c r="A26" s="32" t="n">
        <v>23</v>
      </c>
      <c r="B26" s="45" t="n">
        <v>26401</v>
      </c>
      <c r="C26" s="45" t="n">
        <v>27600</v>
      </c>
      <c r="D26" s="48" t="n">
        <v>27600</v>
      </c>
    </row>
    <row r="27" customFormat="false" ht="15" hidden="false" customHeight="true" outlineLevel="0" collapsed="false">
      <c r="A27" s="32" t="n">
        <v>24</v>
      </c>
      <c r="B27" s="45" t="n">
        <v>27601</v>
      </c>
      <c r="C27" s="45" t="n">
        <v>28590</v>
      </c>
      <c r="D27" s="48" t="n">
        <v>28590</v>
      </c>
    </row>
    <row r="28" customFormat="false" ht="15" hidden="false" customHeight="true" outlineLevel="0" collapsed="false">
      <c r="A28" s="32" t="n">
        <v>25</v>
      </c>
      <c r="B28" s="45" t="n">
        <v>28591</v>
      </c>
      <c r="C28" s="45" t="n">
        <v>29500</v>
      </c>
      <c r="D28" s="48" t="n">
        <v>29500</v>
      </c>
    </row>
    <row r="29" customFormat="false" ht="15" hidden="false" customHeight="true" outlineLevel="0" collapsed="false">
      <c r="A29" s="32" t="n">
        <v>26</v>
      </c>
      <c r="B29" s="45" t="n">
        <v>29501</v>
      </c>
      <c r="C29" s="45" t="n">
        <v>30300</v>
      </c>
      <c r="D29" s="48" t="n">
        <v>30300</v>
      </c>
    </row>
    <row r="30" customFormat="false" ht="15" hidden="false" customHeight="true" outlineLevel="0" collapsed="false">
      <c r="A30" s="32" t="n">
        <v>27</v>
      </c>
      <c r="B30" s="45" t="n">
        <v>30301</v>
      </c>
      <c r="C30" s="45" t="n">
        <v>31800</v>
      </c>
      <c r="D30" s="48" t="n">
        <v>31800</v>
      </c>
    </row>
    <row r="31" customFormat="false" ht="15" hidden="false" customHeight="true" outlineLevel="0" collapsed="false">
      <c r="A31" s="32" t="n">
        <v>28</v>
      </c>
      <c r="B31" s="45" t="n">
        <v>31801</v>
      </c>
      <c r="C31" s="45" t="n">
        <v>33300</v>
      </c>
      <c r="D31" s="48" t="n">
        <v>33300</v>
      </c>
    </row>
    <row r="32" customFormat="false" ht="15" hidden="false" customHeight="true" outlineLevel="0" collapsed="false">
      <c r="A32" s="32" t="n">
        <v>29</v>
      </c>
      <c r="B32" s="45" t="n">
        <v>33301</v>
      </c>
      <c r="C32" s="45" t="n">
        <v>34800</v>
      </c>
      <c r="D32" s="48" t="n">
        <v>34800</v>
      </c>
    </row>
    <row r="33" customFormat="false" ht="15" hidden="false" customHeight="true" outlineLevel="0" collapsed="false">
      <c r="A33" s="32" t="n">
        <v>30</v>
      </c>
      <c r="B33" s="45" t="n">
        <v>34801</v>
      </c>
      <c r="C33" s="45" t="n">
        <v>36300</v>
      </c>
      <c r="D33" s="48" t="n">
        <v>36300</v>
      </c>
    </row>
    <row r="34" customFormat="false" ht="15" hidden="false" customHeight="true" outlineLevel="0" collapsed="false">
      <c r="A34" s="32" t="n">
        <v>31</v>
      </c>
      <c r="B34" s="45" t="n">
        <v>36301</v>
      </c>
      <c r="C34" s="45" t="n">
        <v>38200</v>
      </c>
      <c r="D34" s="48" t="n">
        <v>38200</v>
      </c>
    </row>
    <row r="35" customFormat="false" ht="15" hidden="false" customHeight="true" outlineLevel="0" collapsed="false">
      <c r="A35" s="32" t="n">
        <v>32</v>
      </c>
      <c r="B35" s="45" t="n">
        <v>38201</v>
      </c>
      <c r="C35" s="45" t="n">
        <v>40100</v>
      </c>
      <c r="D35" s="48" t="n">
        <v>40100</v>
      </c>
    </row>
    <row r="36" customFormat="false" ht="15" hidden="false" customHeight="true" outlineLevel="0" collapsed="false">
      <c r="A36" s="32" t="n">
        <v>33</v>
      </c>
      <c r="B36" s="45" t="n">
        <v>40101</v>
      </c>
      <c r="C36" s="45" t="n">
        <v>42000</v>
      </c>
      <c r="D36" s="48" t="n">
        <v>42000</v>
      </c>
    </row>
    <row r="37" customFormat="false" ht="15" hidden="false" customHeight="true" outlineLevel="0" collapsed="false">
      <c r="A37" s="32" t="n">
        <v>34</v>
      </c>
      <c r="B37" s="45" t="n">
        <v>42001</v>
      </c>
      <c r="C37" s="45" t="n">
        <v>43900</v>
      </c>
      <c r="D37" s="48" t="n">
        <v>43900</v>
      </c>
    </row>
    <row r="38" customFormat="false" ht="15" hidden="false" customHeight="true" outlineLevel="0" collapsed="false">
      <c r="A38" s="32" t="n">
        <v>35</v>
      </c>
      <c r="B38" s="45" t="n">
        <v>43901</v>
      </c>
      <c r="C38" s="45" t="n">
        <v>45800</v>
      </c>
      <c r="D38" s="48" t="n">
        <v>45800</v>
      </c>
    </row>
    <row r="39" customFormat="false" ht="15" hidden="false" customHeight="true" outlineLevel="0" collapsed="false">
      <c r="A39" s="32" t="n">
        <v>36</v>
      </c>
      <c r="B39" s="45" t="n">
        <v>45801</v>
      </c>
      <c r="C39" s="45" t="n">
        <v>48200</v>
      </c>
      <c r="D39" s="48" t="n">
        <v>48200</v>
      </c>
    </row>
    <row r="40" customFormat="false" ht="15" hidden="false" customHeight="true" outlineLevel="0" collapsed="false">
      <c r="A40" s="32" t="n">
        <v>37</v>
      </c>
      <c r="B40" s="45" t="n">
        <v>48201</v>
      </c>
      <c r="C40" s="45" t="n">
        <v>50600</v>
      </c>
      <c r="D40" s="48" t="n">
        <v>50600</v>
      </c>
    </row>
    <row r="41" customFormat="false" ht="15" hidden="false" customHeight="true" outlineLevel="0" collapsed="false">
      <c r="A41" s="32" t="n">
        <v>38</v>
      </c>
      <c r="B41" s="45" t="n">
        <v>50601</v>
      </c>
      <c r="C41" s="45" t="n">
        <v>53000</v>
      </c>
      <c r="D41" s="48" t="n">
        <v>53000</v>
      </c>
    </row>
    <row r="42" customFormat="false" ht="15" hidden="false" customHeight="true" outlineLevel="0" collapsed="false">
      <c r="A42" s="32" t="n">
        <v>39</v>
      </c>
      <c r="B42" s="45" t="n">
        <v>53001</v>
      </c>
      <c r="C42" s="45" t="n">
        <v>55400</v>
      </c>
      <c r="D42" s="48" t="n">
        <v>55400</v>
      </c>
    </row>
    <row r="43" customFormat="false" ht="15" hidden="false" customHeight="true" outlineLevel="0" collapsed="false">
      <c r="A43" s="32" t="n">
        <v>40</v>
      </c>
      <c r="B43" s="45" t="n">
        <v>55401</v>
      </c>
      <c r="C43" s="45" t="n">
        <v>57800</v>
      </c>
      <c r="D43" s="48" t="n">
        <v>57800</v>
      </c>
    </row>
    <row r="44" customFormat="false" ht="15" hidden="false" customHeight="true" outlineLevel="0" collapsed="false">
      <c r="A44" s="32" t="n">
        <v>41</v>
      </c>
      <c r="B44" s="45" t="n">
        <v>57801</v>
      </c>
      <c r="C44" s="45" t="n">
        <v>60800</v>
      </c>
      <c r="D44" s="48" t="n">
        <v>60800</v>
      </c>
    </row>
    <row r="45" customFormat="false" ht="15" hidden="false" customHeight="true" outlineLevel="0" collapsed="false">
      <c r="A45" s="32" t="n">
        <v>42</v>
      </c>
      <c r="B45" s="45" t="n">
        <v>60801</v>
      </c>
      <c r="C45" s="45" t="n">
        <v>63800</v>
      </c>
      <c r="D45" s="48" t="n">
        <v>63800</v>
      </c>
    </row>
    <row r="46" customFormat="false" ht="15" hidden="false" customHeight="true" outlineLevel="0" collapsed="false">
      <c r="A46" s="32" t="n">
        <v>43</v>
      </c>
      <c r="B46" s="45" t="n">
        <v>63801</v>
      </c>
      <c r="C46" s="45" t="n">
        <v>66800</v>
      </c>
      <c r="D46" s="48" t="n">
        <v>66800</v>
      </c>
    </row>
    <row r="47" customFormat="false" ht="15" hidden="false" customHeight="true" outlineLevel="0" collapsed="false">
      <c r="A47" s="32" t="n">
        <v>44</v>
      </c>
      <c r="B47" s="45" t="n">
        <v>66801</v>
      </c>
      <c r="C47" s="45" t="n">
        <v>69800</v>
      </c>
      <c r="D47" s="48" t="n">
        <v>69800</v>
      </c>
    </row>
    <row r="48" customFormat="false" ht="15" hidden="false" customHeight="true" outlineLevel="0" collapsed="false">
      <c r="A48" s="32" t="n">
        <v>45</v>
      </c>
      <c r="B48" s="45" t="n">
        <v>69801</v>
      </c>
      <c r="C48" s="45" t="n">
        <v>72800</v>
      </c>
      <c r="D48" s="48" t="n">
        <v>72800</v>
      </c>
    </row>
    <row r="49" customFormat="false" ht="15" hidden="false" customHeight="true" outlineLevel="0" collapsed="false">
      <c r="A49" s="32" t="n">
        <v>46</v>
      </c>
      <c r="B49" s="45" t="n">
        <v>72801</v>
      </c>
      <c r="C49" s="45" t="n">
        <v>76500</v>
      </c>
      <c r="D49" s="48" t="n">
        <v>76500</v>
      </c>
    </row>
    <row r="50" customFormat="false" ht="15" hidden="false" customHeight="true" outlineLevel="0" collapsed="false">
      <c r="A50" s="32" t="n">
        <v>47</v>
      </c>
      <c r="B50" s="45" t="n">
        <v>76501</v>
      </c>
      <c r="C50" s="45" t="n">
        <v>80200</v>
      </c>
      <c r="D50" s="48" t="n">
        <v>80200</v>
      </c>
    </row>
    <row r="51" customFormat="false" ht="15" hidden="false" customHeight="true" outlineLevel="0" collapsed="false">
      <c r="A51" s="32" t="n">
        <v>48</v>
      </c>
      <c r="B51" s="45" t="n">
        <v>80201</v>
      </c>
      <c r="C51" s="45" t="n">
        <v>83900</v>
      </c>
      <c r="D51" s="48" t="n">
        <v>83900</v>
      </c>
    </row>
    <row r="52" customFormat="false" ht="15" hidden="false" customHeight="true" outlineLevel="0" collapsed="false">
      <c r="A52" s="32" t="n">
        <v>49</v>
      </c>
      <c r="B52" s="45" t="n">
        <v>83901</v>
      </c>
      <c r="C52" s="45" t="n">
        <v>87600</v>
      </c>
      <c r="D52" s="48" t="n">
        <v>87600</v>
      </c>
    </row>
    <row r="53" customFormat="false" ht="15" hidden="false" customHeight="true" outlineLevel="0" collapsed="false">
      <c r="A53" s="32" t="n">
        <v>50</v>
      </c>
      <c r="B53" s="45" t="n">
        <v>87601</v>
      </c>
      <c r="C53" s="45" t="n">
        <v>92100</v>
      </c>
      <c r="D53" s="48" t="n">
        <v>92100</v>
      </c>
    </row>
    <row r="54" customFormat="false" ht="15" hidden="false" customHeight="true" outlineLevel="0" collapsed="false">
      <c r="A54" s="32" t="n">
        <v>51</v>
      </c>
      <c r="B54" s="45" t="n">
        <v>92101</v>
      </c>
      <c r="C54" s="45" t="n">
        <v>96600</v>
      </c>
      <c r="D54" s="48" t="n">
        <v>96600</v>
      </c>
    </row>
    <row r="55" customFormat="false" ht="15" hidden="false" customHeight="true" outlineLevel="0" collapsed="false">
      <c r="A55" s="32" t="n">
        <v>52</v>
      </c>
      <c r="B55" s="45" t="n">
        <v>96601</v>
      </c>
      <c r="C55" s="45" t="n">
        <v>101100</v>
      </c>
      <c r="D55" s="48" t="n">
        <v>101100</v>
      </c>
    </row>
    <row r="56" customFormat="false" ht="15" hidden="false" customHeight="true" outlineLevel="0" collapsed="false">
      <c r="A56" s="32" t="n">
        <v>53</v>
      </c>
      <c r="B56" s="45" t="n">
        <v>101101</v>
      </c>
      <c r="C56" s="45" t="n">
        <v>105600</v>
      </c>
      <c r="D56" s="48" t="n">
        <v>105600</v>
      </c>
    </row>
    <row r="57" customFormat="false" ht="15" hidden="false" customHeight="true" outlineLevel="0" collapsed="false">
      <c r="A57" s="32" t="n">
        <v>54</v>
      </c>
      <c r="B57" s="45" t="n">
        <v>105601</v>
      </c>
      <c r="C57" s="45" t="n">
        <v>110100</v>
      </c>
      <c r="D57" s="48" t="n">
        <v>110100</v>
      </c>
    </row>
    <row r="58" customFormat="false" ht="15" hidden="false" customHeight="true" outlineLevel="0" collapsed="false">
      <c r="A58" s="32" t="n">
        <v>55</v>
      </c>
      <c r="B58" s="45" t="n">
        <v>110101</v>
      </c>
      <c r="C58" s="45" t="n">
        <v>115500</v>
      </c>
      <c r="D58" s="48" t="n">
        <v>115500</v>
      </c>
    </row>
    <row r="59" customFormat="false" ht="15" hidden="false" customHeight="true" outlineLevel="0" collapsed="false">
      <c r="A59" s="32" t="n">
        <v>56</v>
      </c>
      <c r="B59" s="45" t="n">
        <v>115501</v>
      </c>
      <c r="C59" s="45" t="n">
        <v>120900</v>
      </c>
      <c r="D59" s="48" t="n">
        <v>120900</v>
      </c>
    </row>
    <row r="60" customFormat="false" ht="15" hidden="false" customHeight="true" outlineLevel="0" collapsed="false">
      <c r="A60" s="32" t="n">
        <v>57</v>
      </c>
      <c r="B60" s="45" t="n">
        <v>120901</v>
      </c>
      <c r="C60" s="45" t="n">
        <v>126300</v>
      </c>
      <c r="D60" s="48" t="n">
        <v>126300</v>
      </c>
    </row>
    <row r="61" customFormat="false" ht="15" hidden="false" customHeight="true" outlineLevel="0" collapsed="false">
      <c r="A61" s="32" t="n">
        <v>58</v>
      </c>
      <c r="B61" s="45" t="n">
        <v>126301</v>
      </c>
      <c r="C61" s="45" t="n">
        <v>131700</v>
      </c>
      <c r="D61" s="48" t="n">
        <v>131700</v>
      </c>
    </row>
    <row r="62" customFormat="false" ht="15" hidden="false" customHeight="true" outlineLevel="0" collapsed="false">
      <c r="A62" s="32" t="n">
        <v>59</v>
      </c>
      <c r="B62" s="45" t="n">
        <v>131701</v>
      </c>
      <c r="C62" s="45" t="n">
        <v>137100</v>
      </c>
      <c r="D62" s="48" t="n">
        <v>137100</v>
      </c>
    </row>
    <row r="63" customFormat="false" ht="15" hidden="false" customHeight="true" outlineLevel="0" collapsed="false">
      <c r="A63" s="32" t="n">
        <v>60</v>
      </c>
      <c r="B63" s="45" t="n">
        <v>137101</v>
      </c>
      <c r="C63" s="45" t="n">
        <v>142500</v>
      </c>
      <c r="D63" s="48" t="n">
        <v>142500</v>
      </c>
    </row>
    <row r="64" customFormat="false" ht="15" hidden="false" customHeight="true" outlineLevel="0" collapsed="false">
      <c r="A64" s="32" t="n">
        <v>61</v>
      </c>
      <c r="B64" s="45" t="n">
        <v>142501</v>
      </c>
      <c r="C64" s="45" t="n">
        <v>147900</v>
      </c>
      <c r="D64" s="48" t="n">
        <v>147900</v>
      </c>
    </row>
    <row r="65" customFormat="false" ht="15" hidden="false" customHeight="true" outlineLevel="0" collapsed="false">
      <c r="A65" s="32" t="n">
        <v>62</v>
      </c>
      <c r="B65" s="45" t="n">
        <v>147901</v>
      </c>
      <c r="C65" s="49" t="s">
        <v>474</v>
      </c>
      <c r="D65" s="48" t="n">
        <v>150000</v>
      </c>
    </row>
    <row r="66" customFormat="false" ht="26.25" hidden="false" customHeight="true" outlineLevel="0" collapsed="false">
      <c r="A66" s="47" t="s">
        <v>465</v>
      </c>
      <c r="B66" s="47"/>
      <c r="C66" s="47"/>
      <c r="D66" s="47"/>
    </row>
  </sheetData>
  <mergeCells count="3">
    <mergeCell ref="A1:D1"/>
    <mergeCell ref="A2:D2"/>
    <mergeCell ref="A66:D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W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0"/>
    <col collapsed="false" customWidth="true" hidden="false" outlineLevel="0" max="5" min="4" style="1" width="12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12" min="9" style="1" width="12"/>
    <col collapsed="false" customWidth="true" hidden="false" outlineLevel="0" max="13" min="13" style="1" width="13"/>
    <col collapsed="false" customWidth="true" hidden="false" outlineLevel="0" max="15" min="14" style="1" width="9"/>
    <col collapsed="false" customWidth="true" hidden="false" outlineLevel="0" max="16" min="16" style="1" width="10"/>
    <col collapsed="false" customWidth="true" hidden="false" outlineLevel="0" max="17" min="17" style="1" width="24"/>
    <col collapsed="false" customWidth="true" hidden="false" outlineLevel="0" max="19" min="18" style="1" width="11"/>
    <col collapsed="false" customWidth="true" hidden="false" outlineLevel="0" max="20" min="20" style="1" width="10"/>
    <col collapsed="false" customWidth="true" hidden="false" outlineLevel="0" max="21" min="21" style="1" width="14"/>
    <col collapsed="false" customWidth="true" hidden="false" outlineLevel="0" max="22" min="22" style="1" width="10"/>
    <col collapsed="false" customWidth="true" hidden="false" outlineLevel="0" max="23" min="23" style="1" width="13"/>
  </cols>
  <sheetData>
    <row r="1" customFormat="false" ht="25.5" hidden="false" customHeight="true" outlineLevel="0" collapsed="false">
      <c r="A1" s="2" t="s">
        <v>475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true" outlineLevel="0" collapsed="false">
      <c r="A2" s="47" t="s">
        <v>476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customFormat="false" ht="29.25" hidden="false" customHeight="true" outlineLevel="0" collapsed="false">
      <c r="A3" s="50" t="s">
        <v>59</v>
      </c>
      <c r="B3" s="50" t="s">
        <v>63</v>
      </c>
      <c r="C3" s="50" t="s">
        <v>66</v>
      </c>
      <c r="D3" s="50" t="s">
        <v>69</v>
      </c>
      <c r="E3" s="50" t="s">
        <v>72</v>
      </c>
      <c r="F3" s="24" t="s">
        <v>477</v>
      </c>
      <c r="G3" s="24" t="s">
        <v>79</v>
      </c>
      <c r="H3" s="24" t="s">
        <v>478</v>
      </c>
      <c r="I3" s="24" t="s">
        <v>85</v>
      </c>
      <c r="J3" s="24" t="s">
        <v>88</v>
      </c>
      <c r="K3" s="24" t="s">
        <v>91</v>
      </c>
      <c r="L3" s="24" t="s">
        <v>94</v>
      </c>
      <c r="M3" s="24" t="s">
        <v>97</v>
      </c>
      <c r="N3" s="24" t="s">
        <v>479</v>
      </c>
      <c r="O3" s="24" t="s">
        <v>103</v>
      </c>
      <c r="P3" s="50" t="s">
        <v>106</v>
      </c>
      <c r="Q3" s="50" t="s">
        <v>109</v>
      </c>
      <c r="R3" s="50" t="s">
        <v>112</v>
      </c>
      <c r="S3" s="50" t="s">
        <v>115</v>
      </c>
      <c r="T3" s="50" t="s">
        <v>118</v>
      </c>
      <c r="U3" s="50" t="s">
        <v>121</v>
      </c>
      <c r="V3" s="24" t="s">
        <v>480</v>
      </c>
      <c r="W3" s="50" t="s">
        <v>127</v>
      </c>
    </row>
    <row r="4" customFormat="false" ht="15" hidden="false" customHeight="true" outlineLevel="0" collapsed="false">
      <c r="A4" s="51" t="s">
        <v>481</v>
      </c>
      <c r="B4" s="52" t="s">
        <v>482</v>
      </c>
      <c r="C4" s="52" t="s">
        <v>483</v>
      </c>
      <c r="D4" s="52" t="s">
        <v>484</v>
      </c>
      <c r="E4" s="53" t="n">
        <v>43525</v>
      </c>
      <c r="F4" s="32" t="n">
        <f aca="false">IF(OR($A4="",$E4=""),"",DATEDIF($E4,參數設定!$C$20,"M"))</f>
        <v>87</v>
      </c>
      <c r="G4" s="49" t="str">
        <f aca="false">IF($F4="","",INT($F4/12)&amp;"年"&amp;MOD($F4,12)&amp;"月")</f>
        <v>7年3月</v>
      </c>
      <c r="H4" s="32" t="n">
        <f aca="false">IF($F4="","",VLOOKUP($F4,參數設定!$G$3:$H$23,2,TRUE()))</f>
        <v>15</v>
      </c>
      <c r="I4" s="45" t="n">
        <f aca="false">IF($A4="","",薪資結構!K4)</f>
        <v>65000</v>
      </c>
      <c r="J4" s="45" t="n">
        <f aca="false">IF(OR($A4="",$I4=""),"",VLOOKUP($I4,勞保級距表!$B$4:$D$14,3,TRUE()))</f>
        <v>45800</v>
      </c>
      <c r="K4" s="45" t="n">
        <f aca="false">IF(OR($A4="",$I4=""),"",VLOOKUP($I4,職保級距表!$B$4:$D$24,3,TRUE()))</f>
        <v>66800</v>
      </c>
      <c r="L4" s="45" t="n">
        <f aca="false">IF(OR($A4="",$I4=""),"",VLOOKUP($I4,健保級距表!$B$4:$D$61,3,TRUE()))</f>
        <v>66800</v>
      </c>
      <c r="M4" s="45" t="n">
        <f aca="false">IF(OR($A4="",$I4=""),"",VLOOKUP($I4,勞退級距表!$B$4:$D$65,3,TRUE()))</f>
        <v>66800</v>
      </c>
      <c r="N4" s="32" t="n">
        <f aca="false">IF($A4="","",COUNTIFS(眷屬名冊!$A$4:$A$203,$A4,眷屬名冊!$G$4:$G$203,"是"))</f>
        <v>1</v>
      </c>
      <c r="O4" s="32" t="n">
        <f aca="false">IF($A4="","",MIN(N(N4),參數設定!$C$16))</f>
        <v>1</v>
      </c>
      <c r="P4" s="54" t="n">
        <v>0.06</v>
      </c>
      <c r="Q4" s="55"/>
      <c r="R4" s="56" t="s">
        <v>485</v>
      </c>
      <c r="S4" s="56" t="s">
        <v>486</v>
      </c>
      <c r="T4" s="57" t="s">
        <v>487</v>
      </c>
      <c r="U4" s="57" t="s">
        <v>488</v>
      </c>
      <c r="V4" s="58" t="n">
        <f aca="false">IF($A4="","",COUNTIFS(眷屬名冊!$A$4:$A$203,$A4,眷屬名冊!$H$4:$H$203,"是"))</f>
        <v>1</v>
      </c>
      <c r="W4" s="59" t="n">
        <v>46032</v>
      </c>
    </row>
    <row r="5" customFormat="false" ht="15" hidden="false" customHeight="true" outlineLevel="0" collapsed="false">
      <c r="A5" s="51" t="s">
        <v>489</v>
      </c>
      <c r="B5" s="52" t="s">
        <v>490</v>
      </c>
      <c r="C5" s="52" t="s">
        <v>491</v>
      </c>
      <c r="D5" s="52" t="s">
        <v>492</v>
      </c>
      <c r="E5" s="53" t="n">
        <v>45122</v>
      </c>
      <c r="F5" s="32" t="n">
        <f aca="false">IF(OR($A5="",$E5=""),"",DATEDIF($E5,參數設定!$C$20,"M"))</f>
        <v>34</v>
      </c>
      <c r="G5" s="49" t="str">
        <f aca="false">IF($F5="","",INT($F5/12)&amp;"年"&amp;MOD($F5,12)&amp;"月")</f>
        <v>2年10月</v>
      </c>
      <c r="H5" s="32" t="n">
        <f aca="false">IF($F5="","",VLOOKUP($F5,參數設定!$G$3:$H$23,2,TRUE()))</f>
        <v>10</v>
      </c>
      <c r="I5" s="45" t="n">
        <f aca="false">IF($A5="","",薪資結構!K5)</f>
        <v>36000</v>
      </c>
      <c r="J5" s="45" t="n">
        <f aca="false">IF(OR($A5="",$I5=""),"",VLOOKUP($I5,勞保級距表!$B$4:$D$14,3,TRUE()))</f>
        <v>36300</v>
      </c>
      <c r="K5" s="45" t="n">
        <f aca="false">IF(OR($A5="",$I5=""),"",VLOOKUP($I5,職保級距表!$B$4:$D$24,3,TRUE()))</f>
        <v>36300</v>
      </c>
      <c r="L5" s="45" t="n">
        <f aca="false">IF(OR($A5="",$I5=""),"",VLOOKUP($I5,健保級距表!$B$4:$D$61,3,TRUE()))</f>
        <v>36300</v>
      </c>
      <c r="M5" s="45" t="n">
        <f aca="false">IF(OR($A5="",$I5=""),"",VLOOKUP($I5,勞退級距表!$B$4:$D$65,3,TRUE()))</f>
        <v>36300</v>
      </c>
      <c r="N5" s="32" t="n">
        <f aca="false">IF($A5="","",COUNTIFS(眷屬名冊!$A$4:$A$203,$A5,眷屬名冊!$G$4:$G$203,"是"))</f>
        <v>0</v>
      </c>
      <c r="O5" s="32" t="n">
        <f aca="false">IF($A5="","",MIN(N(N5),參數設定!$C$16))</f>
        <v>0</v>
      </c>
      <c r="P5" s="54" t="n">
        <v>0</v>
      </c>
      <c r="Q5" s="55"/>
      <c r="R5" s="56" t="s">
        <v>493</v>
      </c>
      <c r="S5" s="56"/>
      <c r="T5" s="57" t="s">
        <v>487</v>
      </c>
      <c r="U5" s="57" t="s">
        <v>494</v>
      </c>
      <c r="V5" s="58" t="n">
        <f aca="false">IF($A5="","",COUNTIFS(眷屬名冊!$A$4:$A$203,$A5,眷屬名冊!$H$4:$H$203,"是"))</f>
        <v>0</v>
      </c>
      <c r="W5" s="59" t="n">
        <v>46032</v>
      </c>
    </row>
    <row r="6" customFormat="false" ht="15" hidden="false" customHeight="true" outlineLevel="0" collapsed="false">
      <c r="A6" s="51" t="s">
        <v>495</v>
      </c>
      <c r="B6" s="52" t="s">
        <v>496</v>
      </c>
      <c r="C6" s="52" t="s">
        <v>497</v>
      </c>
      <c r="D6" s="52" t="s">
        <v>498</v>
      </c>
      <c r="E6" s="53" t="n">
        <v>42499</v>
      </c>
      <c r="F6" s="32" t="n">
        <f aca="false">IF(OR($A6="",$E6=""),"",DATEDIF($E6,參數設定!$C$20,"M"))</f>
        <v>120</v>
      </c>
      <c r="G6" s="49" t="str">
        <f aca="false">IF($F6="","",INT($F6/12)&amp;"年"&amp;MOD($F6,12)&amp;"月")</f>
        <v>10年0月</v>
      </c>
      <c r="H6" s="32" t="n">
        <f aca="false">IF($F6="","",VLOOKUP($F6,參數設定!$G$3:$H$23,2,TRUE()))</f>
        <v>16</v>
      </c>
      <c r="I6" s="45" t="n">
        <f aca="false">IF($A6="","",薪資結構!K6)</f>
        <v>85000</v>
      </c>
      <c r="J6" s="45" t="n">
        <f aca="false">IF(OR($A6="",$I6=""),"",VLOOKUP($I6,勞保級距表!$B$4:$D$14,3,TRUE()))</f>
        <v>45800</v>
      </c>
      <c r="K6" s="45" t="n">
        <f aca="false">IF(OR($A6="",$I6=""),"",VLOOKUP($I6,職保級距表!$B$4:$D$24,3,TRUE()))</f>
        <v>72800</v>
      </c>
      <c r="L6" s="45" t="n">
        <f aca="false">IF(OR($A6="",$I6=""),"",VLOOKUP($I6,健保級距表!$B$4:$D$61,3,TRUE()))</f>
        <v>87600</v>
      </c>
      <c r="M6" s="45" t="n">
        <f aca="false">IF(OR($A6="",$I6=""),"",VLOOKUP($I6,勞退級距表!$B$4:$D$65,3,TRUE()))</f>
        <v>87600</v>
      </c>
      <c r="N6" s="32" t="n">
        <f aca="false">IF($A6="","",COUNTIFS(眷屬名冊!$A$4:$A$203,$A6,眷屬名冊!$G$4:$G$203,"是"))</f>
        <v>2</v>
      </c>
      <c r="O6" s="32" t="n">
        <f aca="false">IF($A6="","",MIN(N(N6),參數設定!$C$16))</f>
        <v>2</v>
      </c>
      <c r="P6" s="54" t="n">
        <v>0.03</v>
      </c>
      <c r="Q6" s="55"/>
      <c r="R6" s="56" t="s">
        <v>499</v>
      </c>
      <c r="S6" s="56" t="s">
        <v>500</v>
      </c>
      <c r="T6" s="57" t="s">
        <v>487</v>
      </c>
      <c r="U6" s="57" t="s">
        <v>494</v>
      </c>
      <c r="V6" s="58" t="n">
        <f aca="false">IF($A6="","",COUNTIFS(眷屬名冊!$A$4:$A$203,$A6,眷屬名冊!$H$4:$H$203,"是"))</f>
        <v>3</v>
      </c>
      <c r="W6" s="59" t="n">
        <v>46034</v>
      </c>
    </row>
    <row r="7" customFormat="false" ht="15" hidden="false" customHeight="true" outlineLevel="0" collapsed="false">
      <c r="A7" s="51" t="s">
        <v>501</v>
      </c>
      <c r="B7" s="52" t="s">
        <v>502</v>
      </c>
      <c r="C7" s="52" t="s">
        <v>503</v>
      </c>
      <c r="D7" s="52" t="s">
        <v>504</v>
      </c>
      <c r="E7" s="53" t="n">
        <v>44501</v>
      </c>
      <c r="F7" s="32" t="n">
        <f aca="false">IF(OR($A7="",$E7=""),"",DATEDIF($E7,參數設定!$C$20,"M"))</f>
        <v>55</v>
      </c>
      <c r="G7" s="49" t="str">
        <f aca="false">IF($F7="","",INT($F7/12)&amp;"年"&amp;MOD($F7,12)&amp;"月")</f>
        <v>4年7月</v>
      </c>
      <c r="H7" s="32" t="n">
        <f aca="false">IF($F7="","",VLOOKUP($F7,參數設定!$G$3:$H$23,2,TRUE()))</f>
        <v>14</v>
      </c>
      <c r="I7" s="45" t="n">
        <f aca="false">IF($A7="","",薪資結構!K7)</f>
        <v>42000</v>
      </c>
      <c r="J7" s="45" t="n">
        <f aca="false">IF(OR($A7="",$I7=""),"",VLOOKUP($I7,勞保級距表!$B$4:$D$14,3,TRUE()))</f>
        <v>42000</v>
      </c>
      <c r="K7" s="45" t="n">
        <f aca="false">IF(OR($A7="",$I7=""),"",VLOOKUP($I7,職保級距表!$B$4:$D$24,3,TRUE()))</f>
        <v>42000</v>
      </c>
      <c r="L7" s="45" t="n">
        <f aca="false">IF(OR($A7="",$I7=""),"",VLOOKUP($I7,健保級距表!$B$4:$D$61,3,TRUE()))</f>
        <v>42000</v>
      </c>
      <c r="M7" s="45" t="n">
        <f aca="false">IF(OR($A7="",$I7=""),"",VLOOKUP($I7,勞退級距表!$B$4:$D$65,3,TRUE()))</f>
        <v>42000</v>
      </c>
      <c r="N7" s="32" t="n">
        <f aca="false">IF($A7="","",COUNTIFS(眷屬名冊!$A$4:$A$203,$A7,眷屬名冊!$G$4:$G$203,"是"))</f>
        <v>0</v>
      </c>
      <c r="O7" s="32" t="n">
        <f aca="false">IF($A7="","",MIN(N(N7),參數設定!$C$16))</f>
        <v>0</v>
      </c>
      <c r="P7" s="54" t="n">
        <v>0</v>
      </c>
      <c r="Q7" s="55"/>
      <c r="R7" s="56" t="s">
        <v>493</v>
      </c>
      <c r="S7" s="56"/>
      <c r="T7" s="57" t="s">
        <v>487</v>
      </c>
      <c r="U7" s="57" t="s">
        <v>488</v>
      </c>
      <c r="V7" s="58" t="n">
        <f aca="false">IF($A7="","",COUNTIFS(眷屬名冊!$A$4:$A$203,$A7,眷屬名冊!$H$4:$H$203,"是"))</f>
        <v>0</v>
      </c>
      <c r="W7" s="59" t="n">
        <v>46032</v>
      </c>
    </row>
    <row r="8" customFormat="false" ht="15" hidden="false" customHeight="true" outlineLevel="0" collapsed="false">
      <c r="A8" s="51" t="s">
        <v>505</v>
      </c>
      <c r="B8" s="52" t="s">
        <v>506</v>
      </c>
      <c r="C8" s="52" t="s">
        <v>483</v>
      </c>
      <c r="D8" s="52" t="s">
        <v>507</v>
      </c>
      <c r="E8" s="53" t="n">
        <v>43878</v>
      </c>
      <c r="F8" s="32" t="n">
        <f aca="false">IF(OR($A8="",$E8=""),"",DATEDIF($E8,參數設定!$C$20,"M"))</f>
        <v>75</v>
      </c>
      <c r="G8" s="49" t="str">
        <f aca="false">IF($F8="","",INT($F8/12)&amp;"年"&amp;MOD($F8,12)&amp;"月")</f>
        <v>6年3月</v>
      </c>
      <c r="H8" s="32" t="n">
        <f aca="false">IF($F8="","",VLOOKUP($F8,參數設定!$G$3:$H$23,2,TRUE()))</f>
        <v>15</v>
      </c>
      <c r="I8" s="45" t="n">
        <f aca="false">IF($A8="","",薪資結構!K8)</f>
        <v>78000</v>
      </c>
      <c r="J8" s="45" t="n">
        <f aca="false">IF(OR($A8="",$I8=""),"",VLOOKUP($I8,勞保級距表!$B$4:$D$14,3,TRUE()))</f>
        <v>45800</v>
      </c>
      <c r="K8" s="45" t="n">
        <f aca="false">IF(OR($A8="",$I8=""),"",VLOOKUP($I8,職保級距表!$B$4:$D$24,3,TRUE()))</f>
        <v>72800</v>
      </c>
      <c r="L8" s="45" t="n">
        <f aca="false">IF(OR($A8="",$I8=""),"",VLOOKUP($I8,健保級距表!$B$4:$D$61,3,TRUE()))</f>
        <v>80200</v>
      </c>
      <c r="M8" s="45" t="n">
        <f aca="false">IF(OR($A8="",$I8=""),"",VLOOKUP($I8,勞退級距表!$B$4:$D$65,3,TRUE()))</f>
        <v>80200</v>
      </c>
      <c r="N8" s="32" t="n">
        <f aca="false">IF($A8="","",COUNTIFS(眷屬名冊!$A$4:$A$203,$A8,眷屬名冊!$G$4:$G$203,"是"))</f>
        <v>3</v>
      </c>
      <c r="O8" s="32" t="n">
        <f aca="false">IF($A8="","",MIN(N(N8),參數設定!$C$16))</f>
        <v>3</v>
      </c>
      <c r="P8" s="54" t="n">
        <v>0.06</v>
      </c>
      <c r="Q8" s="55"/>
      <c r="R8" s="56" t="s">
        <v>485</v>
      </c>
      <c r="S8" s="56" t="s">
        <v>486</v>
      </c>
      <c r="T8" s="57" t="s">
        <v>487</v>
      </c>
      <c r="U8" s="57" t="s">
        <v>494</v>
      </c>
      <c r="V8" s="58" t="n">
        <f aca="false">IF($A8="","",COUNTIFS(眷屬名冊!$A$4:$A$203,$A8,眷屬名冊!$H$4:$H$203,"是"))</f>
        <v>3</v>
      </c>
      <c r="W8" s="59"/>
    </row>
    <row r="9" customFormat="false" ht="15" hidden="false" customHeight="true" outlineLevel="0" collapsed="false">
      <c r="A9" s="51" t="s">
        <v>508</v>
      </c>
      <c r="B9" s="52" t="s">
        <v>509</v>
      </c>
      <c r="C9" s="52" t="s">
        <v>510</v>
      </c>
      <c r="D9" s="52" t="s">
        <v>511</v>
      </c>
      <c r="E9" s="53" t="n">
        <v>45537</v>
      </c>
      <c r="F9" s="32" t="n">
        <f aca="false">IF(OR($A9="",$E9=""),"",DATEDIF($E9,參數設定!$C$20,"M"))</f>
        <v>20</v>
      </c>
      <c r="G9" s="49" t="str">
        <f aca="false">IF($F9="","",INT($F9/12)&amp;"年"&amp;MOD($F9,12)&amp;"月")</f>
        <v>1年8月</v>
      </c>
      <c r="H9" s="32" t="n">
        <f aca="false">IF($F9="","",VLOOKUP($F9,參數設定!$G$3:$H$23,2,TRUE()))</f>
        <v>7</v>
      </c>
      <c r="I9" s="45" t="n">
        <f aca="false">IF($A9="","",薪資結構!K9)</f>
        <v>33000</v>
      </c>
      <c r="J9" s="45" t="n">
        <f aca="false">IF(OR($A9="",$I9=""),"",VLOOKUP($I9,勞保級距表!$B$4:$D$14,3,TRUE()))</f>
        <v>33300</v>
      </c>
      <c r="K9" s="45" t="n">
        <f aca="false">IF(OR($A9="",$I9=""),"",VLOOKUP($I9,職保級距表!$B$4:$D$24,3,TRUE()))</f>
        <v>33300</v>
      </c>
      <c r="L9" s="45" t="n">
        <f aca="false">IF(OR($A9="",$I9=""),"",VLOOKUP($I9,健保級距表!$B$4:$D$61,3,TRUE()))</f>
        <v>33300</v>
      </c>
      <c r="M9" s="45" t="n">
        <f aca="false">IF(OR($A9="",$I9=""),"",VLOOKUP($I9,勞退級距表!$B$4:$D$65,3,TRUE()))</f>
        <v>33300</v>
      </c>
      <c r="N9" s="32" t="n">
        <f aca="false">IF($A9="","",COUNTIFS(眷屬名冊!$A$4:$A$203,$A9,眷屬名冊!$G$4:$G$203,"是"))</f>
        <v>0</v>
      </c>
      <c r="O9" s="32" t="n">
        <f aca="false">IF($A9="","",MIN(N(N9),參數設定!$C$16))</f>
        <v>0</v>
      </c>
      <c r="P9" s="54" t="n">
        <v>0</v>
      </c>
      <c r="Q9" s="55"/>
      <c r="R9" s="56" t="s">
        <v>493</v>
      </c>
      <c r="S9" s="56"/>
      <c r="T9" s="57" t="s">
        <v>512</v>
      </c>
      <c r="U9" s="57"/>
      <c r="V9" s="58" t="n">
        <f aca="false">IF($A9="","",COUNTIFS(眷屬名冊!$A$4:$A$203,$A9,眷屬名冊!$H$4:$H$203,"是"))</f>
        <v>0</v>
      </c>
      <c r="W9" s="59" t="n">
        <v>46037</v>
      </c>
    </row>
    <row r="10" customFormat="false" ht="15" hidden="false" customHeight="true" outlineLevel="0" collapsed="false">
      <c r="A10" s="51" t="s">
        <v>513</v>
      </c>
      <c r="B10" s="52" t="s">
        <v>514</v>
      </c>
      <c r="C10" s="52" t="s">
        <v>515</v>
      </c>
      <c r="D10" s="52" t="s">
        <v>516</v>
      </c>
      <c r="E10" s="53" t="n">
        <v>45992</v>
      </c>
      <c r="F10" s="32" t="n">
        <f aca="false">IF(OR($A10="",$E10=""),"",DATEDIF($E10,參數設定!$C$20,"M"))</f>
        <v>6</v>
      </c>
      <c r="G10" s="49" t="str">
        <f aca="false">IF($F10="","",INT($F10/12)&amp;"年"&amp;MOD($F10,12)&amp;"月")</f>
        <v>0年6月</v>
      </c>
      <c r="H10" s="32" t="n">
        <f aca="false">IF($F10="","",VLOOKUP($F10,參數設定!$G$3:$H$23,2,TRUE()))</f>
        <v>3</v>
      </c>
      <c r="I10" s="45" t="n">
        <f aca="false">IF($A10="","",薪資結構!K10)</f>
        <v>29500</v>
      </c>
      <c r="J10" s="45" t="n">
        <f aca="false">IF(OR($A10="",$I10=""),"",VLOOKUP($I10,勞保級距表!$B$4:$D$14,3,TRUE()))</f>
        <v>29500</v>
      </c>
      <c r="K10" s="45" t="n">
        <f aca="false">IF(OR($A10="",$I10=""),"",VLOOKUP($I10,職保級距表!$B$4:$D$24,3,TRUE()))</f>
        <v>29500</v>
      </c>
      <c r="L10" s="45" t="n">
        <f aca="false">IF(OR($A10="",$I10=""),"",VLOOKUP($I10,健保級距表!$B$4:$D$61,3,TRUE()))</f>
        <v>29500</v>
      </c>
      <c r="M10" s="45" t="n">
        <f aca="false">IF(OR($A10="",$I10=""),"",VLOOKUP($I10,勞退級距表!$B$4:$D$65,3,TRUE()))</f>
        <v>29500</v>
      </c>
      <c r="N10" s="32" t="n">
        <f aca="false">IF($A10="","",COUNTIFS(眷屬名冊!$A$4:$A$203,$A10,眷屬名冊!$G$4:$G$203,"是"))</f>
        <v>4</v>
      </c>
      <c r="O10" s="32" t="n">
        <f aca="false">IF($A10="","",MIN(N(N10),參數設定!$C$16))</f>
        <v>3</v>
      </c>
      <c r="P10" s="54" t="n">
        <v>0</v>
      </c>
      <c r="Q10" s="60" t="s">
        <v>517</v>
      </c>
      <c r="R10" s="56" t="s">
        <v>499</v>
      </c>
      <c r="S10" s="56" t="s">
        <v>500</v>
      </c>
      <c r="T10" s="57" t="s">
        <v>487</v>
      </c>
      <c r="U10" s="57" t="s">
        <v>488</v>
      </c>
      <c r="V10" s="58" t="n">
        <f aca="false">IF($A10="","",COUNTIFS(眷屬名冊!$A$4:$A$203,$A10,眷屬名冊!$H$4:$H$203,"是"))</f>
        <v>2</v>
      </c>
      <c r="W10" s="59" t="n">
        <v>46032</v>
      </c>
    </row>
    <row r="11" customFormat="false" ht="15" hidden="false" customHeight="true" outlineLevel="0" collapsed="false">
      <c r="A11" s="51" t="s">
        <v>518</v>
      </c>
      <c r="B11" s="52" t="s">
        <v>519</v>
      </c>
      <c r="C11" s="52" t="s">
        <v>520</v>
      </c>
      <c r="D11" s="52" t="s">
        <v>521</v>
      </c>
      <c r="E11" s="53" t="n">
        <v>41487</v>
      </c>
      <c r="F11" s="32" t="n">
        <f aca="false">IF(OR($A11="",$E11=""),"",DATEDIF($E11,參數設定!$C$20,"M"))</f>
        <v>154</v>
      </c>
      <c r="G11" s="49" t="str">
        <f aca="false">IF($F11="","",INT($F11/12)&amp;"年"&amp;MOD($F11,12)&amp;"月")</f>
        <v>12年10月</v>
      </c>
      <c r="H11" s="32" t="n">
        <f aca="false">IF($F11="","",VLOOKUP($F11,參數設定!$G$3:$H$23,2,TRUE()))</f>
        <v>18</v>
      </c>
      <c r="I11" s="45" t="n">
        <f aca="false">IF($A11="","",薪資結構!K11)</f>
        <v>160000</v>
      </c>
      <c r="J11" s="45" t="n">
        <f aca="false">IF(OR($A11="",$I11=""),"",VLOOKUP($I11,勞保級距表!$B$4:$D$14,3,TRUE()))</f>
        <v>45800</v>
      </c>
      <c r="K11" s="45" t="n">
        <f aca="false">IF(OR($A11="",$I11=""),"",VLOOKUP($I11,職保級距表!$B$4:$D$24,3,TRUE()))</f>
        <v>72800</v>
      </c>
      <c r="L11" s="45" t="n">
        <f aca="false">IF(OR($A11="",$I11=""),"",VLOOKUP($I11,健保級距表!$B$4:$D$61,3,TRUE()))</f>
        <v>162800</v>
      </c>
      <c r="M11" s="45" t="n">
        <f aca="false">IF(OR($A11="",$I11=""),"",VLOOKUP($I11,勞退級距表!$B$4:$D$65,3,TRUE()))</f>
        <v>150000</v>
      </c>
      <c r="N11" s="32" t="n">
        <f aca="false">IF($A11="","",COUNTIFS(眷屬名冊!$A$4:$A$203,$A11,眷屬名冊!$G$4:$G$203,"是"))</f>
        <v>1</v>
      </c>
      <c r="O11" s="32" t="n">
        <f aca="false">IF($A11="","",MIN(N(N11),參數設定!$C$16))</f>
        <v>1</v>
      </c>
      <c r="P11" s="54" t="n">
        <v>0.06</v>
      </c>
      <c r="Q11" s="60" t="s">
        <v>522</v>
      </c>
      <c r="R11" s="56" t="s">
        <v>493</v>
      </c>
      <c r="S11" s="56" t="s">
        <v>486</v>
      </c>
      <c r="T11" s="57" t="s">
        <v>487</v>
      </c>
      <c r="U11" s="57" t="s">
        <v>494</v>
      </c>
      <c r="V11" s="58" t="n">
        <f aca="false">IF($A11="","",COUNTIFS(眷屬名冊!$A$4:$A$203,$A11,眷屬名冊!$H$4:$H$203,"是"))</f>
        <v>1</v>
      </c>
      <c r="W11" s="59" t="n">
        <v>46032</v>
      </c>
    </row>
    <row r="12" customFormat="false" ht="15" hidden="false" customHeight="true" outlineLevel="0" collapsed="false">
      <c r="A12" s="51"/>
      <c r="B12" s="51"/>
      <c r="C12" s="51"/>
      <c r="D12" s="51"/>
      <c r="E12" s="53"/>
      <c r="F12" s="32" t="str">
        <f aca="false">IF(OR($A12="",$E12=""),"",DATEDIF($E12,參數設定!$C$20,"M"))</f>
        <v/>
      </c>
      <c r="G12" s="49" t="str">
        <f aca="false">IF($F12="","",INT($F12/12)&amp;"年"&amp;MOD($F12,12)&amp;"月")</f>
        <v/>
      </c>
      <c r="H12" s="32" t="str">
        <f aca="false">IF($F12="","",VLOOKUP($F12,參數設定!$G$3:$H$23,2,TRUE()))</f>
        <v/>
      </c>
      <c r="I12" s="45" t="str">
        <f aca="false">IF($A12="","",薪資結構!K12)</f>
        <v/>
      </c>
      <c r="J12" s="45" t="str">
        <f aca="false">IF(OR($A12="",$I12=""),"",VLOOKUP($I12,勞保級距表!$B$4:$D$14,3,TRUE()))</f>
        <v/>
      </c>
      <c r="K12" s="45" t="str">
        <f aca="false">IF(OR($A12="",$I12=""),"",VLOOKUP($I12,職保級距表!$B$4:$D$24,3,TRUE()))</f>
        <v/>
      </c>
      <c r="L12" s="45" t="str">
        <f aca="false">IF(OR($A12="",$I12=""),"",VLOOKUP($I12,健保級距表!$B$4:$D$61,3,TRUE()))</f>
        <v/>
      </c>
      <c r="M12" s="45" t="str">
        <f aca="false">IF(OR($A12="",$I12=""),"",VLOOKUP($I12,勞退級距表!$B$4:$D$65,3,TRUE()))</f>
        <v/>
      </c>
      <c r="N12" s="49" t="str">
        <f aca="false">IF($A12="","",COUNTIFS(眷屬名冊!$A$4:$A$203,$A12,眷屬名冊!$G$4:$G$203,"是"))</f>
        <v/>
      </c>
      <c r="O12" s="32" t="str">
        <f aca="false">IF($A12="","",MIN(N(N12),參數設定!$C$16))</f>
        <v/>
      </c>
      <c r="P12" s="54"/>
      <c r="Q12" s="51"/>
      <c r="R12" s="56"/>
      <c r="S12" s="56"/>
      <c r="T12" s="57"/>
      <c r="U12" s="57"/>
      <c r="V12" s="58" t="str">
        <f aca="false">IF($A12="","",COUNTIFS(眷屬名冊!$A$4:$A$203,$A12,眷屬名冊!$H$4:$H$203,"是"))</f>
        <v/>
      </c>
      <c r="W12" s="59"/>
    </row>
    <row r="13" customFormat="false" ht="15" hidden="false" customHeight="true" outlineLevel="0" collapsed="false">
      <c r="A13" s="51"/>
      <c r="B13" s="51"/>
      <c r="C13" s="51"/>
      <c r="D13" s="51"/>
      <c r="E13" s="53"/>
      <c r="F13" s="32" t="str">
        <f aca="false">IF(OR($A13="",$E13=""),"",DATEDIF($E13,參數設定!$C$20,"M"))</f>
        <v/>
      </c>
      <c r="G13" s="49" t="str">
        <f aca="false">IF($F13="","",INT($F13/12)&amp;"年"&amp;MOD($F13,12)&amp;"月")</f>
        <v/>
      </c>
      <c r="H13" s="32" t="str">
        <f aca="false">IF($F13="","",VLOOKUP($F13,參數設定!$G$3:$H$23,2,TRUE()))</f>
        <v/>
      </c>
      <c r="I13" s="45" t="str">
        <f aca="false">IF($A13="","",薪資結構!K13)</f>
        <v/>
      </c>
      <c r="J13" s="45" t="str">
        <f aca="false">IF(OR($A13="",$I13=""),"",VLOOKUP($I13,勞保級距表!$B$4:$D$14,3,TRUE()))</f>
        <v/>
      </c>
      <c r="K13" s="45" t="str">
        <f aca="false">IF(OR($A13="",$I13=""),"",VLOOKUP($I13,職保級距表!$B$4:$D$24,3,TRUE()))</f>
        <v/>
      </c>
      <c r="L13" s="45" t="str">
        <f aca="false">IF(OR($A13="",$I13=""),"",VLOOKUP($I13,健保級距表!$B$4:$D$61,3,TRUE()))</f>
        <v/>
      </c>
      <c r="M13" s="45" t="str">
        <f aca="false">IF(OR($A13="",$I13=""),"",VLOOKUP($I13,勞退級距表!$B$4:$D$65,3,TRUE()))</f>
        <v/>
      </c>
      <c r="N13" s="49" t="str">
        <f aca="false">IF($A13="","",COUNTIFS(眷屬名冊!$A$4:$A$203,$A13,眷屬名冊!$G$4:$G$203,"是"))</f>
        <v/>
      </c>
      <c r="O13" s="32" t="str">
        <f aca="false">IF($A13="","",MIN(N(N13),參數設定!$C$16))</f>
        <v/>
      </c>
      <c r="P13" s="54"/>
      <c r="Q13" s="51"/>
      <c r="R13" s="56"/>
      <c r="S13" s="56"/>
      <c r="T13" s="57"/>
      <c r="U13" s="57"/>
      <c r="V13" s="58" t="str">
        <f aca="false">IF($A13="","",COUNTIFS(眷屬名冊!$A$4:$A$203,$A13,眷屬名冊!$H$4:$H$203,"是"))</f>
        <v/>
      </c>
      <c r="W13" s="59"/>
    </row>
    <row r="14" customFormat="false" ht="15" hidden="false" customHeight="true" outlineLevel="0" collapsed="false">
      <c r="A14" s="51"/>
      <c r="B14" s="51"/>
      <c r="C14" s="51"/>
      <c r="D14" s="51"/>
      <c r="E14" s="53"/>
      <c r="F14" s="32" t="str">
        <f aca="false">IF(OR($A14="",$E14=""),"",DATEDIF($E14,參數設定!$C$20,"M"))</f>
        <v/>
      </c>
      <c r="G14" s="49" t="str">
        <f aca="false">IF($F14="","",INT($F14/12)&amp;"年"&amp;MOD($F14,12)&amp;"月")</f>
        <v/>
      </c>
      <c r="H14" s="32" t="str">
        <f aca="false">IF($F14="","",VLOOKUP($F14,參數設定!$G$3:$H$23,2,TRUE()))</f>
        <v/>
      </c>
      <c r="I14" s="45" t="str">
        <f aca="false">IF($A14="","",薪資結構!K14)</f>
        <v/>
      </c>
      <c r="J14" s="45" t="str">
        <f aca="false">IF(OR($A14="",$I14=""),"",VLOOKUP($I14,勞保級距表!$B$4:$D$14,3,TRUE()))</f>
        <v/>
      </c>
      <c r="K14" s="45" t="str">
        <f aca="false">IF(OR($A14="",$I14=""),"",VLOOKUP($I14,職保級距表!$B$4:$D$24,3,TRUE()))</f>
        <v/>
      </c>
      <c r="L14" s="45" t="str">
        <f aca="false">IF(OR($A14="",$I14=""),"",VLOOKUP($I14,健保級距表!$B$4:$D$61,3,TRUE()))</f>
        <v/>
      </c>
      <c r="M14" s="45" t="str">
        <f aca="false">IF(OR($A14="",$I14=""),"",VLOOKUP($I14,勞退級距表!$B$4:$D$65,3,TRUE()))</f>
        <v/>
      </c>
      <c r="N14" s="49" t="str">
        <f aca="false">IF($A14="","",COUNTIFS(眷屬名冊!$A$4:$A$203,$A14,眷屬名冊!$G$4:$G$203,"是"))</f>
        <v/>
      </c>
      <c r="O14" s="32" t="str">
        <f aca="false">IF($A14="","",MIN(N(N14),參數設定!$C$16))</f>
        <v/>
      </c>
      <c r="P14" s="54"/>
      <c r="Q14" s="51"/>
      <c r="R14" s="56"/>
      <c r="S14" s="56"/>
      <c r="T14" s="57"/>
      <c r="U14" s="57"/>
      <c r="V14" s="58" t="str">
        <f aca="false">IF($A14="","",COUNTIFS(眷屬名冊!$A$4:$A$203,$A14,眷屬名冊!$H$4:$H$203,"是"))</f>
        <v/>
      </c>
      <c r="W14" s="59"/>
    </row>
    <row r="15" customFormat="false" ht="15" hidden="false" customHeight="true" outlineLevel="0" collapsed="false">
      <c r="A15" s="51"/>
      <c r="B15" s="51"/>
      <c r="C15" s="51"/>
      <c r="D15" s="51"/>
      <c r="E15" s="53"/>
      <c r="F15" s="32" t="str">
        <f aca="false">IF(OR($A15="",$E15=""),"",DATEDIF($E15,參數設定!$C$20,"M"))</f>
        <v/>
      </c>
      <c r="G15" s="49" t="str">
        <f aca="false">IF($F15="","",INT($F15/12)&amp;"年"&amp;MOD($F15,12)&amp;"月")</f>
        <v/>
      </c>
      <c r="H15" s="32" t="str">
        <f aca="false">IF($F15="","",VLOOKUP($F15,參數設定!$G$3:$H$23,2,TRUE()))</f>
        <v/>
      </c>
      <c r="I15" s="45" t="str">
        <f aca="false">IF($A15="","",薪資結構!K15)</f>
        <v/>
      </c>
      <c r="J15" s="45" t="str">
        <f aca="false">IF(OR($A15="",$I15=""),"",VLOOKUP($I15,勞保級距表!$B$4:$D$14,3,TRUE()))</f>
        <v/>
      </c>
      <c r="K15" s="45" t="str">
        <f aca="false">IF(OR($A15="",$I15=""),"",VLOOKUP($I15,職保級距表!$B$4:$D$24,3,TRUE()))</f>
        <v/>
      </c>
      <c r="L15" s="45" t="str">
        <f aca="false">IF(OR($A15="",$I15=""),"",VLOOKUP($I15,健保級距表!$B$4:$D$61,3,TRUE()))</f>
        <v/>
      </c>
      <c r="M15" s="45" t="str">
        <f aca="false">IF(OR($A15="",$I15=""),"",VLOOKUP($I15,勞退級距表!$B$4:$D$65,3,TRUE()))</f>
        <v/>
      </c>
      <c r="N15" s="49" t="str">
        <f aca="false">IF($A15="","",COUNTIFS(眷屬名冊!$A$4:$A$203,$A15,眷屬名冊!$G$4:$G$203,"是"))</f>
        <v/>
      </c>
      <c r="O15" s="32" t="str">
        <f aca="false">IF($A15="","",MIN(N(N15),參數設定!$C$16))</f>
        <v/>
      </c>
      <c r="P15" s="54"/>
      <c r="Q15" s="51"/>
      <c r="R15" s="56"/>
      <c r="S15" s="56"/>
      <c r="T15" s="57"/>
      <c r="U15" s="57"/>
      <c r="V15" s="58" t="str">
        <f aca="false">IF($A15="","",COUNTIFS(眷屬名冊!$A$4:$A$203,$A15,眷屬名冊!$H$4:$H$203,"是"))</f>
        <v/>
      </c>
      <c r="W15" s="59"/>
    </row>
    <row r="16" customFormat="false" ht="15" hidden="false" customHeight="true" outlineLevel="0" collapsed="false">
      <c r="A16" s="51"/>
      <c r="B16" s="51"/>
      <c r="C16" s="51"/>
      <c r="D16" s="51"/>
      <c r="E16" s="53"/>
      <c r="F16" s="32" t="str">
        <f aca="false">IF(OR($A16="",$E16=""),"",DATEDIF($E16,參數設定!$C$20,"M"))</f>
        <v/>
      </c>
      <c r="G16" s="49" t="str">
        <f aca="false">IF($F16="","",INT($F16/12)&amp;"年"&amp;MOD($F16,12)&amp;"月")</f>
        <v/>
      </c>
      <c r="H16" s="32" t="str">
        <f aca="false">IF($F16="","",VLOOKUP($F16,參數設定!$G$3:$H$23,2,TRUE()))</f>
        <v/>
      </c>
      <c r="I16" s="45" t="str">
        <f aca="false">IF($A16="","",薪資結構!K16)</f>
        <v/>
      </c>
      <c r="J16" s="45" t="str">
        <f aca="false">IF(OR($A16="",$I16=""),"",VLOOKUP($I16,勞保級距表!$B$4:$D$14,3,TRUE()))</f>
        <v/>
      </c>
      <c r="K16" s="45" t="str">
        <f aca="false">IF(OR($A16="",$I16=""),"",VLOOKUP($I16,職保級距表!$B$4:$D$24,3,TRUE()))</f>
        <v/>
      </c>
      <c r="L16" s="45" t="str">
        <f aca="false">IF(OR($A16="",$I16=""),"",VLOOKUP($I16,健保級距表!$B$4:$D$61,3,TRUE()))</f>
        <v/>
      </c>
      <c r="M16" s="45" t="str">
        <f aca="false">IF(OR($A16="",$I16=""),"",VLOOKUP($I16,勞退級距表!$B$4:$D$65,3,TRUE()))</f>
        <v/>
      </c>
      <c r="N16" s="49" t="str">
        <f aca="false">IF($A16="","",COUNTIFS(眷屬名冊!$A$4:$A$203,$A16,眷屬名冊!$G$4:$G$203,"是"))</f>
        <v/>
      </c>
      <c r="O16" s="32" t="str">
        <f aca="false">IF($A16="","",MIN(N(N16),參數設定!$C$16))</f>
        <v/>
      </c>
      <c r="P16" s="54"/>
      <c r="Q16" s="51"/>
      <c r="R16" s="56"/>
      <c r="S16" s="56"/>
      <c r="T16" s="57"/>
      <c r="U16" s="57"/>
      <c r="V16" s="58" t="str">
        <f aca="false">IF($A16="","",COUNTIFS(眷屬名冊!$A$4:$A$203,$A16,眷屬名冊!$H$4:$H$203,"是"))</f>
        <v/>
      </c>
      <c r="W16" s="59"/>
    </row>
    <row r="17" customFormat="false" ht="15" hidden="false" customHeight="true" outlineLevel="0" collapsed="false">
      <c r="A17" s="51"/>
      <c r="B17" s="51"/>
      <c r="C17" s="51"/>
      <c r="D17" s="51"/>
      <c r="E17" s="53"/>
      <c r="F17" s="32" t="str">
        <f aca="false">IF(OR($A17="",$E17=""),"",DATEDIF($E17,參數設定!$C$20,"M"))</f>
        <v/>
      </c>
      <c r="G17" s="49" t="str">
        <f aca="false">IF($F17="","",INT($F17/12)&amp;"年"&amp;MOD($F17,12)&amp;"月")</f>
        <v/>
      </c>
      <c r="H17" s="32" t="str">
        <f aca="false">IF($F17="","",VLOOKUP($F17,參數設定!$G$3:$H$23,2,TRUE()))</f>
        <v/>
      </c>
      <c r="I17" s="45" t="str">
        <f aca="false">IF($A17="","",薪資結構!K17)</f>
        <v/>
      </c>
      <c r="J17" s="45" t="str">
        <f aca="false">IF(OR($A17="",$I17=""),"",VLOOKUP($I17,勞保級距表!$B$4:$D$14,3,TRUE()))</f>
        <v/>
      </c>
      <c r="K17" s="45" t="str">
        <f aca="false">IF(OR($A17="",$I17=""),"",VLOOKUP($I17,職保級距表!$B$4:$D$24,3,TRUE()))</f>
        <v/>
      </c>
      <c r="L17" s="45" t="str">
        <f aca="false">IF(OR($A17="",$I17=""),"",VLOOKUP($I17,健保級距表!$B$4:$D$61,3,TRUE()))</f>
        <v/>
      </c>
      <c r="M17" s="45" t="str">
        <f aca="false">IF(OR($A17="",$I17=""),"",VLOOKUP($I17,勞退級距表!$B$4:$D$65,3,TRUE()))</f>
        <v/>
      </c>
      <c r="N17" s="49" t="str">
        <f aca="false">IF($A17="","",COUNTIFS(眷屬名冊!$A$4:$A$203,$A17,眷屬名冊!$G$4:$G$203,"是"))</f>
        <v/>
      </c>
      <c r="O17" s="32" t="str">
        <f aca="false">IF($A17="","",MIN(N(N17),參數設定!$C$16))</f>
        <v/>
      </c>
      <c r="P17" s="54"/>
      <c r="Q17" s="51"/>
      <c r="R17" s="56"/>
      <c r="S17" s="56"/>
      <c r="T17" s="57"/>
      <c r="U17" s="57"/>
      <c r="V17" s="58" t="str">
        <f aca="false">IF($A17="","",COUNTIFS(眷屬名冊!$A$4:$A$203,$A17,眷屬名冊!$H$4:$H$203,"是"))</f>
        <v/>
      </c>
      <c r="W17" s="59"/>
    </row>
    <row r="18" customFormat="false" ht="15" hidden="false" customHeight="true" outlineLevel="0" collapsed="false">
      <c r="A18" s="51"/>
      <c r="B18" s="51"/>
      <c r="C18" s="51"/>
      <c r="D18" s="51"/>
      <c r="E18" s="53"/>
      <c r="F18" s="32" t="str">
        <f aca="false">IF(OR($A18="",$E18=""),"",DATEDIF($E18,參數設定!$C$20,"M"))</f>
        <v/>
      </c>
      <c r="G18" s="49" t="str">
        <f aca="false">IF($F18="","",INT($F18/12)&amp;"年"&amp;MOD($F18,12)&amp;"月")</f>
        <v/>
      </c>
      <c r="H18" s="32" t="str">
        <f aca="false">IF($F18="","",VLOOKUP($F18,參數設定!$G$3:$H$23,2,TRUE()))</f>
        <v/>
      </c>
      <c r="I18" s="45" t="str">
        <f aca="false">IF($A18="","",薪資結構!K18)</f>
        <v/>
      </c>
      <c r="J18" s="45" t="str">
        <f aca="false">IF(OR($A18="",$I18=""),"",VLOOKUP($I18,勞保級距表!$B$4:$D$14,3,TRUE()))</f>
        <v/>
      </c>
      <c r="K18" s="45" t="str">
        <f aca="false">IF(OR($A18="",$I18=""),"",VLOOKUP($I18,職保級距表!$B$4:$D$24,3,TRUE()))</f>
        <v/>
      </c>
      <c r="L18" s="45" t="str">
        <f aca="false">IF(OR($A18="",$I18=""),"",VLOOKUP($I18,健保級距表!$B$4:$D$61,3,TRUE()))</f>
        <v/>
      </c>
      <c r="M18" s="45" t="str">
        <f aca="false">IF(OR($A18="",$I18=""),"",VLOOKUP($I18,勞退級距表!$B$4:$D$65,3,TRUE()))</f>
        <v/>
      </c>
      <c r="N18" s="49" t="str">
        <f aca="false">IF($A18="","",COUNTIFS(眷屬名冊!$A$4:$A$203,$A18,眷屬名冊!$G$4:$G$203,"是"))</f>
        <v/>
      </c>
      <c r="O18" s="32" t="str">
        <f aca="false">IF($A18="","",MIN(N(N18),參數設定!$C$16))</f>
        <v/>
      </c>
      <c r="P18" s="54"/>
      <c r="Q18" s="51"/>
      <c r="R18" s="56"/>
      <c r="S18" s="56"/>
      <c r="T18" s="57"/>
      <c r="U18" s="57"/>
      <c r="V18" s="58" t="str">
        <f aca="false">IF($A18="","",COUNTIFS(眷屬名冊!$A$4:$A$203,$A18,眷屬名冊!$H$4:$H$203,"是"))</f>
        <v/>
      </c>
      <c r="W18" s="59"/>
    </row>
    <row r="19" customFormat="false" ht="15" hidden="false" customHeight="true" outlineLevel="0" collapsed="false">
      <c r="A19" s="51"/>
      <c r="B19" s="51"/>
      <c r="C19" s="51"/>
      <c r="D19" s="51"/>
      <c r="E19" s="53"/>
      <c r="F19" s="32" t="str">
        <f aca="false">IF(OR($A19="",$E19=""),"",DATEDIF($E19,參數設定!$C$20,"M"))</f>
        <v/>
      </c>
      <c r="G19" s="49" t="str">
        <f aca="false">IF($F19="","",INT($F19/12)&amp;"年"&amp;MOD($F19,12)&amp;"月")</f>
        <v/>
      </c>
      <c r="H19" s="32" t="str">
        <f aca="false">IF($F19="","",VLOOKUP($F19,參數設定!$G$3:$H$23,2,TRUE()))</f>
        <v/>
      </c>
      <c r="I19" s="45" t="str">
        <f aca="false">IF($A19="","",薪資結構!K19)</f>
        <v/>
      </c>
      <c r="J19" s="45" t="str">
        <f aca="false">IF(OR($A19="",$I19=""),"",VLOOKUP($I19,勞保級距表!$B$4:$D$14,3,TRUE()))</f>
        <v/>
      </c>
      <c r="K19" s="45" t="str">
        <f aca="false">IF(OR($A19="",$I19=""),"",VLOOKUP($I19,職保級距表!$B$4:$D$24,3,TRUE()))</f>
        <v/>
      </c>
      <c r="L19" s="45" t="str">
        <f aca="false">IF(OR($A19="",$I19=""),"",VLOOKUP($I19,健保級距表!$B$4:$D$61,3,TRUE()))</f>
        <v/>
      </c>
      <c r="M19" s="45" t="str">
        <f aca="false">IF(OR($A19="",$I19=""),"",VLOOKUP($I19,勞退級距表!$B$4:$D$65,3,TRUE()))</f>
        <v/>
      </c>
      <c r="N19" s="49" t="str">
        <f aca="false">IF($A19="","",COUNTIFS(眷屬名冊!$A$4:$A$203,$A19,眷屬名冊!$G$4:$G$203,"是"))</f>
        <v/>
      </c>
      <c r="O19" s="32" t="str">
        <f aca="false">IF($A19="","",MIN(N(N19),參數設定!$C$16))</f>
        <v/>
      </c>
      <c r="P19" s="54"/>
      <c r="Q19" s="51"/>
      <c r="R19" s="56"/>
      <c r="S19" s="56"/>
      <c r="T19" s="57"/>
      <c r="U19" s="57"/>
      <c r="V19" s="58" t="str">
        <f aca="false">IF($A19="","",COUNTIFS(眷屬名冊!$A$4:$A$203,$A19,眷屬名冊!$H$4:$H$203,"是"))</f>
        <v/>
      </c>
      <c r="W19" s="59"/>
    </row>
    <row r="20" customFormat="false" ht="15" hidden="false" customHeight="true" outlineLevel="0" collapsed="false">
      <c r="A20" s="51"/>
      <c r="B20" s="51"/>
      <c r="C20" s="51"/>
      <c r="D20" s="51"/>
      <c r="E20" s="53"/>
      <c r="F20" s="32" t="str">
        <f aca="false">IF(OR($A20="",$E20=""),"",DATEDIF($E20,參數設定!$C$20,"M"))</f>
        <v/>
      </c>
      <c r="G20" s="49" t="str">
        <f aca="false">IF($F20="","",INT($F20/12)&amp;"年"&amp;MOD($F20,12)&amp;"月")</f>
        <v/>
      </c>
      <c r="H20" s="32" t="str">
        <f aca="false">IF($F20="","",VLOOKUP($F20,參數設定!$G$3:$H$23,2,TRUE()))</f>
        <v/>
      </c>
      <c r="I20" s="45" t="str">
        <f aca="false">IF($A20="","",薪資結構!K20)</f>
        <v/>
      </c>
      <c r="J20" s="45" t="str">
        <f aca="false">IF(OR($A20="",$I20=""),"",VLOOKUP($I20,勞保級距表!$B$4:$D$14,3,TRUE()))</f>
        <v/>
      </c>
      <c r="K20" s="45" t="str">
        <f aca="false">IF(OR($A20="",$I20=""),"",VLOOKUP($I20,職保級距表!$B$4:$D$24,3,TRUE()))</f>
        <v/>
      </c>
      <c r="L20" s="45" t="str">
        <f aca="false">IF(OR($A20="",$I20=""),"",VLOOKUP($I20,健保級距表!$B$4:$D$61,3,TRUE()))</f>
        <v/>
      </c>
      <c r="M20" s="45" t="str">
        <f aca="false">IF(OR($A20="",$I20=""),"",VLOOKUP($I20,勞退級距表!$B$4:$D$65,3,TRUE()))</f>
        <v/>
      </c>
      <c r="N20" s="49" t="str">
        <f aca="false">IF($A20="","",COUNTIFS(眷屬名冊!$A$4:$A$203,$A20,眷屬名冊!$G$4:$G$203,"是"))</f>
        <v/>
      </c>
      <c r="O20" s="32" t="str">
        <f aca="false">IF($A20="","",MIN(N(N20),參數設定!$C$16))</f>
        <v/>
      </c>
      <c r="P20" s="54"/>
      <c r="Q20" s="51"/>
      <c r="R20" s="56"/>
      <c r="S20" s="56"/>
      <c r="T20" s="57"/>
      <c r="U20" s="57"/>
      <c r="V20" s="58" t="str">
        <f aca="false">IF($A20="","",COUNTIFS(眷屬名冊!$A$4:$A$203,$A20,眷屬名冊!$H$4:$H$203,"是"))</f>
        <v/>
      </c>
      <c r="W20" s="59"/>
    </row>
    <row r="21" customFormat="false" ht="15" hidden="false" customHeight="true" outlineLevel="0" collapsed="false">
      <c r="A21" s="51"/>
      <c r="B21" s="51"/>
      <c r="C21" s="51"/>
      <c r="D21" s="51"/>
      <c r="E21" s="53"/>
      <c r="F21" s="32" t="str">
        <f aca="false">IF(OR($A21="",$E21=""),"",DATEDIF($E21,參數設定!$C$20,"M"))</f>
        <v/>
      </c>
      <c r="G21" s="49" t="str">
        <f aca="false">IF($F21="","",INT($F21/12)&amp;"年"&amp;MOD($F21,12)&amp;"月")</f>
        <v/>
      </c>
      <c r="H21" s="32" t="str">
        <f aca="false">IF($F21="","",VLOOKUP($F21,參數設定!$G$3:$H$23,2,TRUE()))</f>
        <v/>
      </c>
      <c r="I21" s="45" t="str">
        <f aca="false">IF($A21="","",薪資結構!K21)</f>
        <v/>
      </c>
      <c r="J21" s="45" t="str">
        <f aca="false">IF(OR($A21="",$I21=""),"",VLOOKUP($I21,勞保級距表!$B$4:$D$14,3,TRUE()))</f>
        <v/>
      </c>
      <c r="K21" s="45" t="str">
        <f aca="false">IF(OR($A21="",$I21=""),"",VLOOKUP($I21,職保級距表!$B$4:$D$24,3,TRUE()))</f>
        <v/>
      </c>
      <c r="L21" s="45" t="str">
        <f aca="false">IF(OR($A21="",$I21=""),"",VLOOKUP($I21,健保級距表!$B$4:$D$61,3,TRUE()))</f>
        <v/>
      </c>
      <c r="M21" s="45" t="str">
        <f aca="false">IF(OR($A21="",$I21=""),"",VLOOKUP($I21,勞退級距表!$B$4:$D$65,3,TRUE()))</f>
        <v/>
      </c>
      <c r="N21" s="49" t="str">
        <f aca="false">IF($A21="","",COUNTIFS(眷屬名冊!$A$4:$A$203,$A21,眷屬名冊!$G$4:$G$203,"是"))</f>
        <v/>
      </c>
      <c r="O21" s="32" t="str">
        <f aca="false">IF($A21="","",MIN(N(N21),參數設定!$C$16))</f>
        <v/>
      </c>
      <c r="P21" s="54"/>
      <c r="Q21" s="51"/>
      <c r="R21" s="56"/>
      <c r="S21" s="56"/>
      <c r="T21" s="57"/>
      <c r="U21" s="57"/>
      <c r="V21" s="58" t="str">
        <f aca="false">IF($A21="","",COUNTIFS(眷屬名冊!$A$4:$A$203,$A21,眷屬名冊!$H$4:$H$203,"是"))</f>
        <v/>
      </c>
      <c r="W21" s="59"/>
    </row>
    <row r="22" customFormat="false" ht="15" hidden="false" customHeight="true" outlineLevel="0" collapsed="false">
      <c r="A22" s="51"/>
      <c r="B22" s="51"/>
      <c r="C22" s="51"/>
      <c r="D22" s="51"/>
      <c r="E22" s="53"/>
      <c r="F22" s="32" t="str">
        <f aca="false">IF(OR($A22="",$E22=""),"",DATEDIF($E22,參數設定!$C$20,"M"))</f>
        <v/>
      </c>
      <c r="G22" s="49" t="str">
        <f aca="false">IF($F22="","",INT($F22/12)&amp;"年"&amp;MOD($F22,12)&amp;"月")</f>
        <v/>
      </c>
      <c r="H22" s="32" t="str">
        <f aca="false">IF($F22="","",VLOOKUP($F22,參數設定!$G$3:$H$23,2,TRUE()))</f>
        <v/>
      </c>
      <c r="I22" s="45" t="str">
        <f aca="false">IF($A22="","",薪資結構!K22)</f>
        <v/>
      </c>
      <c r="J22" s="45" t="str">
        <f aca="false">IF(OR($A22="",$I22=""),"",VLOOKUP($I22,勞保級距表!$B$4:$D$14,3,TRUE()))</f>
        <v/>
      </c>
      <c r="K22" s="45" t="str">
        <f aca="false">IF(OR($A22="",$I22=""),"",VLOOKUP($I22,職保級距表!$B$4:$D$24,3,TRUE()))</f>
        <v/>
      </c>
      <c r="L22" s="45" t="str">
        <f aca="false">IF(OR($A22="",$I22=""),"",VLOOKUP($I22,健保級距表!$B$4:$D$61,3,TRUE()))</f>
        <v/>
      </c>
      <c r="M22" s="45" t="str">
        <f aca="false">IF(OR($A22="",$I22=""),"",VLOOKUP($I22,勞退級距表!$B$4:$D$65,3,TRUE()))</f>
        <v/>
      </c>
      <c r="N22" s="49" t="str">
        <f aca="false">IF($A22="","",COUNTIFS(眷屬名冊!$A$4:$A$203,$A22,眷屬名冊!$G$4:$G$203,"是"))</f>
        <v/>
      </c>
      <c r="O22" s="32" t="str">
        <f aca="false">IF($A22="","",MIN(N(N22),參數設定!$C$16))</f>
        <v/>
      </c>
      <c r="P22" s="54"/>
      <c r="Q22" s="51"/>
      <c r="R22" s="56"/>
      <c r="S22" s="56"/>
      <c r="T22" s="57"/>
      <c r="U22" s="57"/>
      <c r="V22" s="58" t="str">
        <f aca="false">IF($A22="","",COUNTIFS(眷屬名冊!$A$4:$A$203,$A22,眷屬名冊!$H$4:$H$203,"是"))</f>
        <v/>
      </c>
      <c r="W22" s="59"/>
    </row>
    <row r="23" customFormat="false" ht="15" hidden="false" customHeight="true" outlineLevel="0" collapsed="false">
      <c r="A23" s="51"/>
      <c r="B23" s="51"/>
      <c r="C23" s="51"/>
      <c r="D23" s="51"/>
      <c r="E23" s="53"/>
      <c r="F23" s="32" t="str">
        <f aca="false">IF(OR($A23="",$E23=""),"",DATEDIF($E23,參數設定!$C$20,"M"))</f>
        <v/>
      </c>
      <c r="G23" s="49" t="str">
        <f aca="false">IF($F23="","",INT($F23/12)&amp;"年"&amp;MOD($F23,12)&amp;"月")</f>
        <v/>
      </c>
      <c r="H23" s="32" t="str">
        <f aca="false">IF($F23="","",VLOOKUP($F23,參數設定!$G$3:$H$23,2,TRUE()))</f>
        <v/>
      </c>
      <c r="I23" s="45" t="str">
        <f aca="false">IF($A23="","",薪資結構!K23)</f>
        <v/>
      </c>
      <c r="J23" s="45" t="str">
        <f aca="false">IF(OR($A23="",$I23=""),"",VLOOKUP($I23,勞保級距表!$B$4:$D$14,3,TRUE()))</f>
        <v/>
      </c>
      <c r="K23" s="45" t="str">
        <f aca="false">IF(OR($A23="",$I23=""),"",VLOOKUP($I23,職保級距表!$B$4:$D$24,3,TRUE()))</f>
        <v/>
      </c>
      <c r="L23" s="45" t="str">
        <f aca="false">IF(OR($A23="",$I23=""),"",VLOOKUP($I23,健保級距表!$B$4:$D$61,3,TRUE()))</f>
        <v/>
      </c>
      <c r="M23" s="45" t="str">
        <f aca="false">IF(OR($A23="",$I23=""),"",VLOOKUP($I23,勞退級距表!$B$4:$D$65,3,TRUE()))</f>
        <v/>
      </c>
      <c r="N23" s="49" t="str">
        <f aca="false">IF($A23="","",COUNTIFS(眷屬名冊!$A$4:$A$203,$A23,眷屬名冊!$G$4:$G$203,"是"))</f>
        <v/>
      </c>
      <c r="O23" s="32" t="str">
        <f aca="false">IF($A23="","",MIN(N(N23),參數設定!$C$16))</f>
        <v/>
      </c>
      <c r="P23" s="54"/>
      <c r="Q23" s="51"/>
      <c r="R23" s="56"/>
      <c r="S23" s="56"/>
      <c r="T23" s="57"/>
      <c r="U23" s="57"/>
      <c r="V23" s="58" t="str">
        <f aca="false">IF($A23="","",COUNTIFS(眷屬名冊!$A$4:$A$203,$A23,眷屬名冊!$H$4:$H$203,"是"))</f>
        <v/>
      </c>
      <c r="W23" s="59"/>
    </row>
    <row r="24" customFormat="false" ht="15" hidden="false" customHeight="true" outlineLevel="0" collapsed="false">
      <c r="A24" s="51"/>
      <c r="B24" s="51"/>
      <c r="C24" s="51"/>
      <c r="D24" s="51"/>
      <c r="E24" s="53"/>
      <c r="F24" s="32" t="str">
        <f aca="false">IF(OR($A24="",$E24=""),"",DATEDIF($E24,參數設定!$C$20,"M"))</f>
        <v/>
      </c>
      <c r="G24" s="49" t="str">
        <f aca="false">IF($F24="","",INT($F24/12)&amp;"年"&amp;MOD($F24,12)&amp;"月")</f>
        <v/>
      </c>
      <c r="H24" s="32" t="str">
        <f aca="false">IF($F24="","",VLOOKUP($F24,參數設定!$G$3:$H$23,2,TRUE()))</f>
        <v/>
      </c>
      <c r="I24" s="45" t="str">
        <f aca="false">IF($A24="","",薪資結構!K24)</f>
        <v/>
      </c>
      <c r="J24" s="45" t="str">
        <f aca="false">IF(OR($A24="",$I24=""),"",VLOOKUP($I24,勞保級距表!$B$4:$D$14,3,TRUE()))</f>
        <v/>
      </c>
      <c r="K24" s="45" t="str">
        <f aca="false">IF(OR($A24="",$I24=""),"",VLOOKUP($I24,職保級距表!$B$4:$D$24,3,TRUE()))</f>
        <v/>
      </c>
      <c r="L24" s="45" t="str">
        <f aca="false">IF(OR($A24="",$I24=""),"",VLOOKUP($I24,健保級距表!$B$4:$D$61,3,TRUE()))</f>
        <v/>
      </c>
      <c r="M24" s="45" t="str">
        <f aca="false">IF(OR($A24="",$I24=""),"",VLOOKUP($I24,勞退級距表!$B$4:$D$65,3,TRUE()))</f>
        <v/>
      </c>
      <c r="N24" s="49" t="str">
        <f aca="false">IF($A24="","",COUNTIFS(眷屬名冊!$A$4:$A$203,$A24,眷屬名冊!$G$4:$G$203,"是"))</f>
        <v/>
      </c>
      <c r="O24" s="32" t="str">
        <f aca="false">IF($A24="","",MIN(N(N24),參數設定!$C$16))</f>
        <v/>
      </c>
      <c r="P24" s="54"/>
      <c r="Q24" s="51"/>
      <c r="R24" s="56"/>
      <c r="S24" s="56"/>
      <c r="T24" s="57"/>
      <c r="U24" s="57"/>
      <c r="V24" s="58" t="str">
        <f aca="false">IF($A24="","",COUNTIFS(眷屬名冊!$A$4:$A$203,$A24,眷屬名冊!$H$4:$H$203,"是"))</f>
        <v/>
      </c>
      <c r="W24" s="59"/>
    </row>
    <row r="25" customFormat="false" ht="15" hidden="false" customHeight="true" outlineLevel="0" collapsed="false">
      <c r="A25" s="51"/>
      <c r="B25" s="51"/>
      <c r="C25" s="51"/>
      <c r="D25" s="51"/>
      <c r="E25" s="53"/>
      <c r="F25" s="32" t="str">
        <f aca="false">IF(OR($A25="",$E25=""),"",DATEDIF($E25,參數設定!$C$20,"M"))</f>
        <v/>
      </c>
      <c r="G25" s="49" t="str">
        <f aca="false">IF($F25="","",INT($F25/12)&amp;"年"&amp;MOD($F25,12)&amp;"月")</f>
        <v/>
      </c>
      <c r="H25" s="32" t="str">
        <f aca="false">IF($F25="","",VLOOKUP($F25,參數設定!$G$3:$H$23,2,TRUE()))</f>
        <v/>
      </c>
      <c r="I25" s="45" t="str">
        <f aca="false">IF($A25="","",薪資結構!K25)</f>
        <v/>
      </c>
      <c r="J25" s="45" t="str">
        <f aca="false">IF(OR($A25="",$I25=""),"",VLOOKUP($I25,勞保級距表!$B$4:$D$14,3,TRUE()))</f>
        <v/>
      </c>
      <c r="K25" s="45" t="str">
        <f aca="false">IF(OR($A25="",$I25=""),"",VLOOKUP($I25,職保級距表!$B$4:$D$24,3,TRUE()))</f>
        <v/>
      </c>
      <c r="L25" s="45" t="str">
        <f aca="false">IF(OR($A25="",$I25=""),"",VLOOKUP($I25,健保級距表!$B$4:$D$61,3,TRUE()))</f>
        <v/>
      </c>
      <c r="M25" s="45" t="str">
        <f aca="false">IF(OR($A25="",$I25=""),"",VLOOKUP($I25,勞退級距表!$B$4:$D$65,3,TRUE()))</f>
        <v/>
      </c>
      <c r="N25" s="49" t="str">
        <f aca="false">IF($A25="","",COUNTIFS(眷屬名冊!$A$4:$A$203,$A25,眷屬名冊!$G$4:$G$203,"是"))</f>
        <v/>
      </c>
      <c r="O25" s="32" t="str">
        <f aca="false">IF($A25="","",MIN(N(N25),參數設定!$C$16))</f>
        <v/>
      </c>
      <c r="P25" s="54"/>
      <c r="Q25" s="51"/>
      <c r="R25" s="56"/>
      <c r="S25" s="56"/>
      <c r="T25" s="57"/>
      <c r="U25" s="57"/>
      <c r="V25" s="58" t="str">
        <f aca="false">IF($A25="","",COUNTIFS(眷屬名冊!$A$4:$A$203,$A25,眷屬名冊!$H$4:$H$203,"是"))</f>
        <v/>
      </c>
      <c r="W25" s="59"/>
    </row>
    <row r="26" customFormat="false" ht="15" hidden="false" customHeight="true" outlineLevel="0" collapsed="false">
      <c r="A26" s="51"/>
      <c r="B26" s="51"/>
      <c r="C26" s="51"/>
      <c r="D26" s="51"/>
      <c r="E26" s="53"/>
      <c r="F26" s="32" t="str">
        <f aca="false">IF(OR($A26="",$E26=""),"",DATEDIF($E26,參數設定!$C$20,"M"))</f>
        <v/>
      </c>
      <c r="G26" s="49" t="str">
        <f aca="false">IF($F26="","",INT($F26/12)&amp;"年"&amp;MOD($F26,12)&amp;"月")</f>
        <v/>
      </c>
      <c r="H26" s="32" t="str">
        <f aca="false">IF($F26="","",VLOOKUP($F26,參數設定!$G$3:$H$23,2,TRUE()))</f>
        <v/>
      </c>
      <c r="I26" s="45" t="str">
        <f aca="false">IF($A26="","",薪資結構!K26)</f>
        <v/>
      </c>
      <c r="J26" s="45" t="str">
        <f aca="false">IF(OR($A26="",$I26=""),"",VLOOKUP($I26,勞保級距表!$B$4:$D$14,3,TRUE()))</f>
        <v/>
      </c>
      <c r="K26" s="45" t="str">
        <f aca="false">IF(OR($A26="",$I26=""),"",VLOOKUP($I26,職保級距表!$B$4:$D$24,3,TRUE()))</f>
        <v/>
      </c>
      <c r="L26" s="45" t="str">
        <f aca="false">IF(OR($A26="",$I26=""),"",VLOOKUP($I26,健保級距表!$B$4:$D$61,3,TRUE()))</f>
        <v/>
      </c>
      <c r="M26" s="45" t="str">
        <f aca="false">IF(OR($A26="",$I26=""),"",VLOOKUP($I26,勞退級距表!$B$4:$D$65,3,TRUE()))</f>
        <v/>
      </c>
      <c r="N26" s="49" t="str">
        <f aca="false">IF($A26="","",COUNTIFS(眷屬名冊!$A$4:$A$203,$A26,眷屬名冊!$G$4:$G$203,"是"))</f>
        <v/>
      </c>
      <c r="O26" s="32" t="str">
        <f aca="false">IF($A26="","",MIN(N(N26),參數設定!$C$16))</f>
        <v/>
      </c>
      <c r="P26" s="54"/>
      <c r="Q26" s="51"/>
      <c r="R26" s="56"/>
      <c r="S26" s="56"/>
      <c r="T26" s="57"/>
      <c r="U26" s="57"/>
      <c r="V26" s="58" t="str">
        <f aca="false">IF($A26="","",COUNTIFS(眷屬名冊!$A$4:$A$203,$A26,眷屬名冊!$H$4:$H$203,"是"))</f>
        <v/>
      </c>
      <c r="W26" s="59"/>
    </row>
    <row r="27" customFormat="false" ht="15" hidden="false" customHeight="true" outlineLevel="0" collapsed="false">
      <c r="A27" s="51"/>
      <c r="B27" s="51"/>
      <c r="C27" s="51"/>
      <c r="D27" s="51"/>
      <c r="E27" s="53"/>
      <c r="F27" s="32" t="str">
        <f aca="false">IF(OR($A27="",$E27=""),"",DATEDIF($E27,參數設定!$C$20,"M"))</f>
        <v/>
      </c>
      <c r="G27" s="49" t="str">
        <f aca="false">IF($F27="","",INT($F27/12)&amp;"年"&amp;MOD($F27,12)&amp;"月")</f>
        <v/>
      </c>
      <c r="H27" s="32" t="str">
        <f aca="false">IF($F27="","",VLOOKUP($F27,參數設定!$G$3:$H$23,2,TRUE()))</f>
        <v/>
      </c>
      <c r="I27" s="45" t="str">
        <f aca="false">IF($A27="","",薪資結構!K27)</f>
        <v/>
      </c>
      <c r="J27" s="45" t="str">
        <f aca="false">IF(OR($A27="",$I27=""),"",VLOOKUP($I27,勞保級距表!$B$4:$D$14,3,TRUE()))</f>
        <v/>
      </c>
      <c r="K27" s="45" t="str">
        <f aca="false">IF(OR($A27="",$I27=""),"",VLOOKUP($I27,職保級距表!$B$4:$D$24,3,TRUE()))</f>
        <v/>
      </c>
      <c r="L27" s="45" t="str">
        <f aca="false">IF(OR($A27="",$I27=""),"",VLOOKUP($I27,健保級距表!$B$4:$D$61,3,TRUE()))</f>
        <v/>
      </c>
      <c r="M27" s="45" t="str">
        <f aca="false">IF(OR($A27="",$I27=""),"",VLOOKUP($I27,勞退級距表!$B$4:$D$65,3,TRUE()))</f>
        <v/>
      </c>
      <c r="N27" s="49" t="str">
        <f aca="false">IF($A27="","",COUNTIFS(眷屬名冊!$A$4:$A$203,$A27,眷屬名冊!$G$4:$G$203,"是"))</f>
        <v/>
      </c>
      <c r="O27" s="32" t="str">
        <f aca="false">IF($A27="","",MIN(N(N27),參數設定!$C$16))</f>
        <v/>
      </c>
      <c r="P27" s="54"/>
      <c r="Q27" s="51"/>
      <c r="R27" s="56"/>
      <c r="S27" s="56"/>
      <c r="T27" s="57"/>
      <c r="U27" s="57"/>
      <c r="V27" s="58" t="str">
        <f aca="false">IF($A27="","",COUNTIFS(眷屬名冊!$A$4:$A$203,$A27,眷屬名冊!$H$4:$H$203,"是"))</f>
        <v/>
      </c>
      <c r="W27" s="59"/>
    </row>
    <row r="28" customFormat="false" ht="15" hidden="false" customHeight="true" outlineLevel="0" collapsed="false">
      <c r="A28" s="51"/>
      <c r="B28" s="51"/>
      <c r="C28" s="51"/>
      <c r="D28" s="51"/>
      <c r="E28" s="53"/>
      <c r="F28" s="32" t="str">
        <f aca="false">IF(OR($A28="",$E28=""),"",DATEDIF($E28,參數設定!$C$20,"M"))</f>
        <v/>
      </c>
      <c r="G28" s="49" t="str">
        <f aca="false">IF($F28="","",INT($F28/12)&amp;"年"&amp;MOD($F28,12)&amp;"月")</f>
        <v/>
      </c>
      <c r="H28" s="32" t="str">
        <f aca="false">IF($F28="","",VLOOKUP($F28,參數設定!$G$3:$H$23,2,TRUE()))</f>
        <v/>
      </c>
      <c r="I28" s="45" t="str">
        <f aca="false">IF($A28="","",薪資結構!K28)</f>
        <v/>
      </c>
      <c r="J28" s="45" t="str">
        <f aca="false">IF(OR($A28="",$I28=""),"",VLOOKUP($I28,勞保級距表!$B$4:$D$14,3,TRUE()))</f>
        <v/>
      </c>
      <c r="K28" s="45" t="str">
        <f aca="false">IF(OR($A28="",$I28=""),"",VLOOKUP($I28,職保級距表!$B$4:$D$24,3,TRUE()))</f>
        <v/>
      </c>
      <c r="L28" s="45" t="str">
        <f aca="false">IF(OR($A28="",$I28=""),"",VLOOKUP($I28,健保級距表!$B$4:$D$61,3,TRUE()))</f>
        <v/>
      </c>
      <c r="M28" s="45" t="str">
        <f aca="false">IF(OR($A28="",$I28=""),"",VLOOKUP($I28,勞退級距表!$B$4:$D$65,3,TRUE()))</f>
        <v/>
      </c>
      <c r="N28" s="49" t="str">
        <f aca="false">IF($A28="","",COUNTIFS(眷屬名冊!$A$4:$A$203,$A28,眷屬名冊!$G$4:$G$203,"是"))</f>
        <v/>
      </c>
      <c r="O28" s="32" t="str">
        <f aca="false">IF($A28="","",MIN(N(N28),參數設定!$C$16))</f>
        <v/>
      </c>
      <c r="P28" s="54"/>
      <c r="Q28" s="51"/>
      <c r="R28" s="56"/>
      <c r="S28" s="56"/>
      <c r="T28" s="57"/>
      <c r="U28" s="57"/>
      <c r="V28" s="58" t="str">
        <f aca="false">IF($A28="","",COUNTIFS(眷屬名冊!$A$4:$A$203,$A28,眷屬名冊!$H$4:$H$203,"是"))</f>
        <v/>
      </c>
      <c r="W28" s="59"/>
    </row>
    <row r="29" customFormat="false" ht="15" hidden="false" customHeight="true" outlineLevel="0" collapsed="false">
      <c r="A29" s="51"/>
      <c r="B29" s="51"/>
      <c r="C29" s="51"/>
      <c r="D29" s="51"/>
      <c r="E29" s="53"/>
      <c r="F29" s="32" t="str">
        <f aca="false">IF(OR($A29="",$E29=""),"",DATEDIF($E29,參數設定!$C$20,"M"))</f>
        <v/>
      </c>
      <c r="G29" s="49" t="str">
        <f aca="false">IF($F29="","",INT($F29/12)&amp;"年"&amp;MOD($F29,12)&amp;"月")</f>
        <v/>
      </c>
      <c r="H29" s="32" t="str">
        <f aca="false">IF($F29="","",VLOOKUP($F29,參數設定!$G$3:$H$23,2,TRUE()))</f>
        <v/>
      </c>
      <c r="I29" s="45" t="str">
        <f aca="false">IF($A29="","",薪資結構!K29)</f>
        <v/>
      </c>
      <c r="J29" s="45" t="str">
        <f aca="false">IF(OR($A29="",$I29=""),"",VLOOKUP($I29,勞保級距表!$B$4:$D$14,3,TRUE()))</f>
        <v/>
      </c>
      <c r="K29" s="45" t="str">
        <f aca="false">IF(OR($A29="",$I29=""),"",VLOOKUP($I29,職保級距表!$B$4:$D$24,3,TRUE()))</f>
        <v/>
      </c>
      <c r="L29" s="45" t="str">
        <f aca="false">IF(OR($A29="",$I29=""),"",VLOOKUP($I29,健保級距表!$B$4:$D$61,3,TRUE()))</f>
        <v/>
      </c>
      <c r="M29" s="45" t="str">
        <f aca="false">IF(OR($A29="",$I29=""),"",VLOOKUP($I29,勞退級距表!$B$4:$D$65,3,TRUE()))</f>
        <v/>
      </c>
      <c r="N29" s="49" t="str">
        <f aca="false">IF($A29="","",COUNTIFS(眷屬名冊!$A$4:$A$203,$A29,眷屬名冊!$G$4:$G$203,"是"))</f>
        <v/>
      </c>
      <c r="O29" s="32" t="str">
        <f aca="false">IF($A29="","",MIN(N(N29),參數設定!$C$16))</f>
        <v/>
      </c>
      <c r="P29" s="54"/>
      <c r="Q29" s="51"/>
      <c r="R29" s="56"/>
      <c r="S29" s="56"/>
      <c r="T29" s="57"/>
      <c r="U29" s="57"/>
      <c r="V29" s="58" t="str">
        <f aca="false">IF($A29="","",COUNTIFS(眷屬名冊!$A$4:$A$203,$A29,眷屬名冊!$H$4:$H$203,"是"))</f>
        <v/>
      </c>
      <c r="W29" s="59"/>
    </row>
    <row r="30" customFormat="false" ht="15" hidden="false" customHeight="true" outlineLevel="0" collapsed="false">
      <c r="A30" s="51"/>
      <c r="B30" s="51"/>
      <c r="C30" s="51"/>
      <c r="D30" s="51"/>
      <c r="E30" s="53"/>
      <c r="F30" s="32" t="str">
        <f aca="false">IF(OR($A30="",$E30=""),"",DATEDIF($E30,參數設定!$C$20,"M"))</f>
        <v/>
      </c>
      <c r="G30" s="49" t="str">
        <f aca="false">IF($F30="","",INT($F30/12)&amp;"年"&amp;MOD($F30,12)&amp;"月")</f>
        <v/>
      </c>
      <c r="H30" s="32" t="str">
        <f aca="false">IF($F30="","",VLOOKUP($F30,參數設定!$G$3:$H$23,2,TRUE()))</f>
        <v/>
      </c>
      <c r="I30" s="45" t="str">
        <f aca="false">IF($A30="","",薪資結構!K30)</f>
        <v/>
      </c>
      <c r="J30" s="45" t="str">
        <f aca="false">IF(OR($A30="",$I30=""),"",VLOOKUP($I30,勞保級距表!$B$4:$D$14,3,TRUE()))</f>
        <v/>
      </c>
      <c r="K30" s="45" t="str">
        <f aca="false">IF(OR($A30="",$I30=""),"",VLOOKUP($I30,職保級距表!$B$4:$D$24,3,TRUE()))</f>
        <v/>
      </c>
      <c r="L30" s="45" t="str">
        <f aca="false">IF(OR($A30="",$I30=""),"",VLOOKUP($I30,健保級距表!$B$4:$D$61,3,TRUE()))</f>
        <v/>
      </c>
      <c r="M30" s="45" t="str">
        <f aca="false">IF(OR($A30="",$I30=""),"",VLOOKUP($I30,勞退級距表!$B$4:$D$65,3,TRUE()))</f>
        <v/>
      </c>
      <c r="N30" s="49" t="str">
        <f aca="false">IF($A30="","",COUNTIFS(眷屬名冊!$A$4:$A$203,$A30,眷屬名冊!$G$4:$G$203,"是"))</f>
        <v/>
      </c>
      <c r="O30" s="32" t="str">
        <f aca="false">IF($A30="","",MIN(N(N30),參數設定!$C$16))</f>
        <v/>
      </c>
      <c r="P30" s="54"/>
      <c r="Q30" s="51"/>
      <c r="R30" s="56"/>
      <c r="S30" s="56"/>
      <c r="T30" s="57"/>
      <c r="U30" s="57"/>
      <c r="V30" s="58" t="str">
        <f aca="false">IF($A30="","",COUNTIFS(眷屬名冊!$A$4:$A$203,$A30,眷屬名冊!$H$4:$H$203,"是"))</f>
        <v/>
      </c>
      <c r="W30" s="59"/>
    </row>
    <row r="31" customFormat="false" ht="15" hidden="false" customHeight="true" outlineLevel="0" collapsed="false">
      <c r="A31" s="51"/>
      <c r="B31" s="51"/>
      <c r="C31" s="51"/>
      <c r="D31" s="51"/>
      <c r="E31" s="53"/>
      <c r="F31" s="32" t="str">
        <f aca="false">IF(OR($A31="",$E31=""),"",DATEDIF($E31,參數設定!$C$20,"M"))</f>
        <v/>
      </c>
      <c r="G31" s="49" t="str">
        <f aca="false">IF($F31="","",INT($F31/12)&amp;"年"&amp;MOD($F31,12)&amp;"月")</f>
        <v/>
      </c>
      <c r="H31" s="32" t="str">
        <f aca="false">IF($F31="","",VLOOKUP($F31,參數設定!$G$3:$H$23,2,TRUE()))</f>
        <v/>
      </c>
      <c r="I31" s="45" t="str">
        <f aca="false">IF($A31="","",薪資結構!K31)</f>
        <v/>
      </c>
      <c r="J31" s="45" t="str">
        <f aca="false">IF(OR($A31="",$I31=""),"",VLOOKUP($I31,勞保級距表!$B$4:$D$14,3,TRUE()))</f>
        <v/>
      </c>
      <c r="K31" s="45" t="str">
        <f aca="false">IF(OR($A31="",$I31=""),"",VLOOKUP($I31,職保級距表!$B$4:$D$24,3,TRUE()))</f>
        <v/>
      </c>
      <c r="L31" s="45" t="str">
        <f aca="false">IF(OR($A31="",$I31=""),"",VLOOKUP($I31,健保級距表!$B$4:$D$61,3,TRUE()))</f>
        <v/>
      </c>
      <c r="M31" s="45" t="str">
        <f aca="false">IF(OR($A31="",$I31=""),"",VLOOKUP($I31,勞退級距表!$B$4:$D$65,3,TRUE()))</f>
        <v/>
      </c>
      <c r="N31" s="49" t="str">
        <f aca="false">IF($A31="","",COUNTIFS(眷屬名冊!$A$4:$A$203,$A31,眷屬名冊!$G$4:$G$203,"是"))</f>
        <v/>
      </c>
      <c r="O31" s="32" t="str">
        <f aca="false">IF($A31="","",MIN(N(N31),參數設定!$C$16))</f>
        <v/>
      </c>
      <c r="P31" s="54"/>
      <c r="Q31" s="51"/>
      <c r="R31" s="56"/>
      <c r="S31" s="56"/>
      <c r="T31" s="57"/>
      <c r="U31" s="57"/>
      <c r="V31" s="58" t="str">
        <f aca="false">IF($A31="","",COUNTIFS(眷屬名冊!$A$4:$A$203,$A31,眷屬名冊!$H$4:$H$203,"是"))</f>
        <v/>
      </c>
      <c r="W31" s="59"/>
    </row>
    <row r="32" customFormat="false" ht="15" hidden="false" customHeight="true" outlineLevel="0" collapsed="false">
      <c r="A32" s="51"/>
      <c r="B32" s="51"/>
      <c r="C32" s="51"/>
      <c r="D32" s="51"/>
      <c r="E32" s="53"/>
      <c r="F32" s="32" t="str">
        <f aca="false">IF(OR($A32="",$E32=""),"",DATEDIF($E32,參數設定!$C$20,"M"))</f>
        <v/>
      </c>
      <c r="G32" s="49" t="str">
        <f aca="false">IF($F32="","",INT($F32/12)&amp;"年"&amp;MOD($F32,12)&amp;"月")</f>
        <v/>
      </c>
      <c r="H32" s="32" t="str">
        <f aca="false">IF($F32="","",VLOOKUP($F32,參數設定!$G$3:$H$23,2,TRUE()))</f>
        <v/>
      </c>
      <c r="I32" s="45" t="str">
        <f aca="false">IF($A32="","",薪資結構!K32)</f>
        <v/>
      </c>
      <c r="J32" s="45" t="str">
        <f aca="false">IF(OR($A32="",$I32=""),"",VLOOKUP($I32,勞保級距表!$B$4:$D$14,3,TRUE()))</f>
        <v/>
      </c>
      <c r="K32" s="45" t="str">
        <f aca="false">IF(OR($A32="",$I32=""),"",VLOOKUP($I32,職保級距表!$B$4:$D$24,3,TRUE()))</f>
        <v/>
      </c>
      <c r="L32" s="45" t="str">
        <f aca="false">IF(OR($A32="",$I32=""),"",VLOOKUP($I32,健保級距表!$B$4:$D$61,3,TRUE()))</f>
        <v/>
      </c>
      <c r="M32" s="45" t="str">
        <f aca="false">IF(OR($A32="",$I32=""),"",VLOOKUP($I32,勞退級距表!$B$4:$D$65,3,TRUE()))</f>
        <v/>
      </c>
      <c r="N32" s="49" t="str">
        <f aca="false">IF($A32="","",COUNTIFS(眷屬名冊!$A$4:$A$203,$A32,眷屬名冊!$G$4:$G$203,"是"))</f>
        <v/>
      </c>
      <c r="O32" s="32" t="str">
        <f aca="false">IF($A32="","",MIN(N(N32),參數設定!$C$16))</f>
        <v/>
      </c>
      <c r="P32" s="54"/>
      <c r="Q32" s="51"/>
      <c r="R32" s="56"/>
      <c r="S32" s="56"/>
      <c r="T32" s="57"/>
      <c r="U32" s="57"/>
      <c r="V32" s="58" t="str">
        <f aca="false">IF($A32="","",COUNTIFS(眷屬名冊!$A$4:$A$203,$A32,眷屬名冊!$H$4:$H$203,"是"))</f>
        <v/>
      </c>
      <c r="W32" s="59"/>
    </row>
    <row r="33" customFormat="false" ht="15" hidden="false" customHeight="true" outlineLevel="0" collapsed="false">
      <c r="A33" s="51"/>
      <c r="B33" s="51"/>
      <c r="C33" s="51"/>
      <c r="D33" s="51"/>
      <c r="E33" s="53"/>
      <c r="F33" s="32" t="str">
        <f aca="false">IF(OR($A33="",$E33=""),"",DATEDIF($E33,參數設定!$C$20,"M"))</f>
        <v/>
      </c>
      <c r="G33" s="49" t="str">
        <f aca="false">IF($F33="","",INT($F33/12)&amp;"年"&amp;MOD($F33,12)&amp;"月")</f>
        <v/>
      </c>
      <c r="H33" s="32" t="str">
        <f aca="false">IF($F33="","",VLOOKUP($F33,參數設定!$G$3:$H$23,2,TRUE()))</f>
        <v/>
      </c>
      <c r="I33" s="45" t="str">
        <f aca="false">IF($A33="","",薪資結構!K33)</f>
        <v/>
      </c>
      <c r="J33" s="45" t="str">
        <f aca="false">IF(OR($A33="",$I33=""),"",VLOOKUP($I33,勞保級距表!$B$4:$D$14,3,TRUE()))</f>
        <v/>
      </c>
      <c r="K33" s="45" t="str">
        <f aca="false">IF(OR($A33="",$I33=""),"",VLOOKUP($I33,職保級距表!$B$4:$D$24,3,TRUE()))</f>
        <v/>
      </c>
      <c r="L33" s="45" t="str">
        <f aca="false">IF(OR($A33="",$I33=""),"",VLOOKUP($I33,健保級距表!$B$4:$D$61,3,TRUE()))</f>
        <v/>
      </c>
      <c r="M33" s="45" t="str">
        <f aca="false">IF(OR($A33="",$I33=""),"",VLOOKUP($I33,勞退級距表!$B$4:$D$65,3,TRUE()))</f>
        <v/>
      </c>
      <c r="N33" s="49" t="str">
        <f aca="false">IF($A33="","",COUNTIFS(眷屬名冊!$A$4:$A$203,$A33,眷屬名冊!$G$4:$G$203,"是"))</f>
        <v/>
      </c>
      <c r="O33" s="32" t="str">
        <f aca="false">IF($A33="","",MIN(N(N33),參數設定!$C$16))</f>
        <v/>
      </c>
      <c r="P33" s="54"/>
      <c r="Q33" s="51"/>
      <c r="R33" s="56"/>
      <c r="S33" s="56"/>
      <c r="T33" s="57"/>
      <c r="U33" s="57"/>
      <c r="V33" s="58" t="str">
        <f aca="false">IF($A33="","",COUNTIFS(眷屬名冊!$A$4:$A$203,$A33,眷屬名冊!$H$4:$H$203,"是"))</f>
        <v/>
      </c>
      <c r="W33" s="59"/>
    </row>
    <row r="34" customFormat="false" ht="15" hidden="false" customHeight="true" outlineLevel="0" collapsed="false">
      <c r="A34" s="51"/>
      <c r="B34" s="51"/>
      <c r="C34" s="51"/>
      <c r="D34" s="51"/>
      <c r="E34" s="53"/>
      <c r="F34" s="32" t="str">
        <f aca="false">IF(OR($A34="",$E34=""),"",DATEDIF($E34,參數設定!$C$20,"M"))</f>
        <v/>
      </c>
      <c r="G34" s="49" t="str">
        <f aca="false">IF($F34="","",INT($F34/12)&amp;"年"&amp;MOD($F34,12)&amp;"月")</f>
        <v/>
      </c>
      <c r="H34" s="32" t="str">
        <f aca="false">IF($F34="","",VLOOKUP($F34,參數設定!$G$3:$H$23,2,TRUE()))</f>
        <v/>
      </c>
      <c r="I34" s="45" t="str">
        <f aca="false">IF($A34="","",薪資結構!K34)</f>
        <v/>
      </c>
      <c r="J34" s="45" t="str">
        <f aca="false">IF(OR($A34="",$I34=""),"",VLOOKUP($I34,勞保級距表!$B$4:$D$14,3,TRUE()))</f>
        <v/>
      </c>
      <c r="K34" s="45" t="str">
        <f aca="false">IF(OR($A34="",$I34=""),"",VLOOKUP($I34,職保級距表!$B$4:$D$24,3,TRUE()))</f>
        <v/>
      </c>
      <c r="L34" s="45" t="str">
        <f aca="false">IF(OR($A34="",$I34=""),"",VLOOKUP($I34,健保級距表!$B$4:$D$61,3,TRUE()))</f>
        <v/>
      </c>
      <c r="M34" s="45" t="str">
        <f aca="false">IF(OR($A34="",$I34=""),"",VLOOKUP($I34,勞退級距表!$B$4:$D$65,3,TRUE()))</f>
        <v/>
      </c>
      <c r="N34" s="49" t="str">
        <f aca="false">IF($A34="","",COUNTIFS(眷屬名冊!$A$4:$A$203,$A34,眷屬名冊!$G$4:$G$203,"是"))</f>
        <v/>
      </c>
      <c r="O34" s="32" t="str">
        <f aca="false">IF($A34="","",MIN(N(N34),參數設定!$C$16))</f>
        <v/>
      </c>
      <c r="P34" s="54"/>
      <c r="Q34" s="51"/>
      <c r="R34" s="56"/>
      <c r="S34" s="56"/>
      <c r="T34" s="57"/>
      <c r="U34" s="57"/>
      <c r="V34" s="58" t="str">
        <f aca="false">IF($A34="","",COUNTIFS(眷屬名冊!$A$4:$A$203,$A34,眷屬名冊!$H$4:$H$203,"是"))</f>
        <v/>
      </c>
      <c r="W34" s="59"/>
    </row>
    <row r="35" customFormat="false" ht="15" hidden="false" customHeight="true" outlineLevel="0" collapsed="false">
      <c r="A35" s="51"/>
      <c r="B35" s="51"/>
      <c r="C35" s="51"/>
      <c r="D35" s="51"/>
      <c r="E35" s="53"/>
      <c r="F35" s="32" t="str">
        <f aca="false">IF(OR($A35="",$E35=""),"",DATEDIF($E35,參數設定!$C$20,"M"))</f>
        <v/>
      </c>
      <c r="G35" s="49" t="str">
        <f aca="false">IF($F35="","",INT($F35/12)&amp;"年"&amp;MOD($F35,12)&amp;"月")</f>
        <v/>
      </c>
      <c r="H35" s="32" t="str">
        <f aca="false">IF($F35="","",VLOOKUP($F35,參數設定!$G$3:$H$23,2,TRUE()))</f>
        <v/>
      </c>
      <c r="I35" s="45" t="str">
        <f aca="false">IF($A35="","",薪資結構!K35)</f>
        <v/>
      </c>
      <c r="J35" s="45" t="str">
        <f aca="false">IF(OR($A35="",$I35=""),"",VLOOKUP($I35,勞保級距表!$B$4:$D$14,3,TRUE()))</f>
        <v/>
      </c>
      <c r="K35" s="45" t="str">
        <f aca="false">IF(OR($A35="",$I35=""),"",VLOOKUP($I35,職保級距表!$B$4:$D$24,3,TRUE()))</f>
        <v/>
      </c>
      <c r="L35" s="45" t="str">
        <f aca="false">IF(OR($A35="",$I35=""),"",VLOOKUP($I35,健保級距表!$B$4:$D$61,3,TRUE()))</f>
        <v/>
      </c>
      <c r="M35" s="45" t="str">
        <f aca="false">IF(OR($A35="",$I35=""),"",VLOOKUP($I35,勞退級距表!$B$4:$D$65,3,TRUE()))</f>
        <v/>
      </c>
      <c r="N35" s="49" t="str">
        <f aca="false">IF($A35="","",COUNTIFS(眷屬名冊!$A$4:$A$203,$A35,眷屬名冊!$G$4:$G$203,"是"))</f>
        <v/>
      </c>
      <c r="O35" s="32" t="str">
        <f aca="false">IF($A35="","",MIN(N(N35),參數設定!$C$16))</f>
        <v/>
      </c>
      <c r="P35" s="54"/>
      <c r="Q35" s="51"/>
      <c r="R35" s="56"/>
      <c r="S35" s="56"/>
      <c r="T35" s="57"/>
      <c r="U35" s="57"/>
      <c r="V35" s="58" t="str">
        <f aca="false">IF($A35="","",COUNTIFS(眷屬名冊!$A$4:$A$203,$A35,眷屬名冊!$H$4:$H$203,"是"))</f>
        <v/>
      </c>
      <c r="W35" s="59"/>
    </row>
    <row r="36" customFormat="false" ht="15" hidden="false" customHeight="true" outlineLevel="0" collapsed="false">
      <c r="A36" s="51"/>
      <c r="B36" s="51"/>
      <c r="C36" s="51"/>
      <c r="D36" s="51"/>
      <c r="E36" s="53"/>
      <c r="F36" s="32" t="str">
        <f aca="false">IF(OR($A36="",$E36=""),"",DATEDIF($E36,參數設定!$C$20,"M"))</f>
        <v/>
      </c>
      <c r="G36" s="49" t="str">
        <f aca="false">IF($F36="","",INT($F36/12)&amp;"年"&amp;MOD($F36,12)&amp;"月")</f>
        <v/>
      </c>
      <c r="H36" s="32" t="str">
        <f aca="false">IF($F36="","",VLOOKUP($F36,參數設定!$G$3:$H$23,2,TRUE()))</f>
        <v/>
      </c>
      <c r="I36" s="45" t="str">
        <f aca="false">IF($A36="","",薪資結構!K36)</f>
        <v/>
      </c>
      <c r="J36" s="45" t="str">
        <f aca="false">IF(OR($A36="",$I36=""),"",VLOOKUP($I36,勞保級距表!$B$4:$D$14,3,TRUE()))</f>
        <v/>
      </c>
      <c r="K36" s="45" t="str">
        <f aca="false">IF(OR($A36="",$I36=""),"",VLOOKUP($I36,職保級距表!$B$4:$D$24,3,TRUE()))</f>
        <v/>
      </c>
      <c r="L36" s="45" t="str">
        <f aca="false">IF(OR($A36="",$I36=""),"",VLOOKUP($I36,健保級距表!$B$4:$D$61,3,TRUE()))</f>
        <v/>
      </c>
      <c r="M36" s="45" t="str">
        <f aca="false">IF(OR($A36="",$I36=""),"",VLOOKUP($I36,勞退級距表!$B$4:$D$65,3,TRUE()))</f>
        <v/>
      </c>
      <c r="N36" s="49" t="str">
        <f aca="false">IF($A36="","",COUNTIFS(眷屬名冊!$A$4:$A$203,$A36,眷屬名冊!$G$4:$G$203,"是"))</f>
        <v/>
      </c>
      <c r="O36" s="32" t="str">
        <f aca="false">IF($A36="","",MIN(N(N36),參數設定!$C$16))</f>
        <v/>
      </c>
      <c r="P36" s="54"/>
      <c r="Q36" s="51"/>
      <c r="R36" s="56"/>
      <c r="S36" s="56"/>
      <c r="T36" s="57"/>
      <c r="U36" s="57"/>
      <c r="V36" s="58" t="str">
        <f aca="false">IF($A36="","",COUNTIFS(眷屬名冊!$A$4:$A$203,$A36,眷屬名冊!$H$4:$H$203,"是"))</f>
        <v/>
      </c>
      <c r="W36" s="59"/>
    </row>
    <row r="37" customFormat="false" ht="15" hidden="false" customHeight="true" outlineLevel="0" collapsed="false">
      <c r="A37" s="51"/>
      <c r="B37" s="51"/>
      <c r="C37" s="51"/>
      <c r="D37" s="51"/>
      <c r="E37" s="53"/>
      <c r="F37" s="32" t="str">
        <f aca="false">IF(OR($A37="",$E37=""),"",DATEDIF($E37,參數設定!$C$20,"M"))</f>
        <v/>
      </c>
      <c r="G37" s="49" t="str">
        <f aca="false">IF($F37="","",INT($F37/12)&amp;"年"&amp;MOD($F37,12)&amp;"月")</f>
        <v/>
      </c>
      <c r="H37" s="32" t="str">
        <f aca="false">IF($F37="","",VLOOKUP($F37,參數設定!$G$3:$H$23,2,TRUE()))</f>
        <v/>
      </c>
      <c r="I37" s="45" t="str">
        <f aca="false">IF($A37="","",薪資結構!K37)</f>
        <v/>
      </c>
      <c r="J37" s="45" t="str">
        <f aca="false">IF(OR($A37="",$I37=""),"",VLOOKUP($I37,勞保級距表!$B$4:$D$14,3,TRUE()))</f>
        <v/>
      </c>
      <c r="K37" s="45" t="str">
        <f aca="false">IF(OR($A37="",$I37=""),"",VLOOKUP($I37,職保級距表!$B$4:$D$24,3,TRUE()))</f>
        <v/>
      </c>
      <c r="L37" s="45" t="str">
        <f aca="false">IF(OR($A37="",$I37=""),"",VLOOKUP($I37,健保級距表!$B$4:$D$61,3,TRUE()))</f>
        <v/>
      </c>
      <c r="M37" s="45" t="str">
        <f aca="false">IF(OR($A37="",$I37=""),"",VLOOKUP($I37,勞退級距表!$B$4:$D$65,3,TRUE()))</f>
        <v/>
      </c>
      <c r="N37" s="49" t="str">
        <f aca="false">IF($A37="","",COUNTIFS(眷屬名冊!$A$4:$A$203,$A37,眷屬名冊!$G$4:$G$203,"是"))</f>
        <v/>
      </c>
      <c r="O37" s="32" t="str">
        <f aca="false">IF($A37="","",MIN(N(N37),參數設定!$C$16))</f>
        <v/>
      </c>
      <c r="P37" s="54"/>
      <c r="Q37" s="51"/>
      <c r="R37" s="56"/>
      <c r="S37" s="56"/>
      <c r="T37" s="57"/>
      <c r="U37" s="57"/>
      <c r="V37" s="58" t="str">
        <f aca="false">IF($A37="","",COUNTIFS(眷屬名冊!$A$4:$A$203,$A37,眷屬名冊!$H$4:$H$203,"是"))</f>
        <v/>
      </c>
      <c r="W37" s="59"/>
    </row>
    <row r="38" customFormat="false" ht="15" hidden="false" customHeight="true" outlineLevel="0" collapsed="false">
      <c r="A38" s="51"/>
      <c r="B38" s="51"/>
      <c r="C38" s="51"/>
      <c r="D38" s="51"/>
      <c r="E38" s="53"/>
      <c r="F38" s="32" t="str">
        <f aca="false">IF(OR($A38="",$E38=""),"",DATEDIF($E38,參數設定!$C$20,"M"))</f>
        <v/>
      </c>
      <c r="G38" s="49" t="str">
        <f aca="false">IF($F38="","",INT($F38/12)&amp;"年"&amp;MOD($F38,12)&amp;"月")</f>
        <v/>
      </c>
      <c r="H38" s="32" t="str">
        <f aca="false">IF($F38="","",VLOOKUP($F38,參數設定!$G$3:$H$23,2,TRUE()))</f>
        <v/>
      </c>
      <c r="I38" s="45" t="str">
        <f aca="false">IF($A38="","",薪資結構!K38)</f>
        <v/>
      </c>
      <c r="J38" s="45" t="str">
        <f aca="false">IF(OR($A38="",$I38=""),"",VLOOKUP($I38,勞保級距表!$B$4:$D$14,3,TRUE()))</f>
        <v/>
      </c>
      <c r="K38" s="45" t="str">
        <f aca="false">IF(OR($A38="",$I38=""),"",VLOOKUP($I38,職保級距表!$B$4:$D$24,3,TRUE()))</f>
        <v/>
      </c>
      <c r="L38" s="45" t="str">
        <f aca="false">IF(OR($A38="",$I38=""),"",VLOOKUP($I38,健保級距表!$B$4:$D$61,3,TRUE()))</f>
        <v/>
      </c>
      <c r="M38" s="45" t="str">
        <f aca="false">IF(OR($A38="",$I38=""),"",VLOOKUP($I38,勞退級距表!$B$4:$D$65,3,TRUE()))</f>
        <v/>
      </c>
      <c r="N38" s="49" t="str">
        <f aca="false">IF($A38="","",COUNTIFS(眷屬名冊!$A$4:$A$203,$A38,眷屬名冊!$G$4:$G$203,"是"))</f>
        <v/>
      </c>
      <c r="O38" s="32" t="str">
        <f aca="false">IF($A38="","",MIN(N(N38),參數設定!$C$16))</f>
        <v/>
      </c>
      <c r="P38" s="54"/>
      <c r="Q38" s="51"/>
      <c r="R38" s="56"/>
      <c r="S38" s="56"/>
      <c r="T38" s="57"/>
      <c r="U38" s="57"/>
      <c r="V38" s="58" t="str">
        <f aca="false">IF($A38="","",COUNTIFS(眷屬名冊!$A$4:$A$203,$A38,眷屬名冊!$H$4:$H$203,"是"))</f>
        <v/>
      </c>
      <c r="W38" s="59"/>
    </row>
    <row r="39" customFormat="false" ht="15" hidden="false" customHeight="true" outlineLevel="0" collapsed="false">
      <c r="A39" s="51"/>
      <c r="B39" s="51"/>
      <c r="C39" s="51"/>
      <c r="D39" s="51"/>
      <c r="E39" s="53"/>
      <c r="F39" s="32" t="str">
        <f aca="false">IF(OR($A39="",$E39=""),"",DATEDIF($E39,參數設定!$C$20,"M"))</f>
        <v/>
      </c>
      <c r="G39" s="49" t="str">
        <f aca="false">IF($F39="","",INT($F39/12)&amp;"年"&amp;MOD($F39,12)&amp;"月")</f>
        <v/>
      </c>
      <c r="H39" s="32" t="str">
        <f aca="false">IF($F39="","",VLOOKUP($F39,參數設定!$G$3:$H$23,2,TRUE()))</f>
        <v/>
      </c>
      <c r="I39" s="45" t="str">
        <f aca="false">IF($A39="","",薪資結構!K39)</f>
        <v/>
      </c>
      <c r="J39" s="45" t="str">
        <f aca="false">IF(OR($A39="",$I39=""),"",VLOOKUP($I39,勞保級距表!$B$4:$D$14,3,TRUE()))</f>
        <v/>
      </c>
      <c r="K39" s="45" t="str">
        <f aca="false">IF(OR($A39="",$I39=""),"",VLOOKUP($I39,職保級距表!$B$4:$D$24,3,TRUE()))</f>
        <v/>
      </c>
      <c r="L39" s="45" t="str">
        <f aca="false">IF(OR($A39="",$I39=""),"",VLOOKUP($I39,健保級距表!$B$4:$D$61,3,TRUE()))</f>
        <v/>
      </c>
      <c r="M39" s="45" t="str">
        <f aca="false">IF(OR($A39="",$I39=""),"",VLOOKUP($I39,勞退級距表!$B$4:$D$65,3,TRUE()))</f>
        <v/>
      </c>
      <c r="N39" s="49" t="str">
        <f aca="false">IF($A39="","",COUNTIFS(眷屬名冊!$A$4:$A$203,$A39,眷屬名冊!$G$4:$G$203,"是"))</f>
        <v/>
      </c>
      <c r="O39" s="32" t="str">
        <f aca="false">IF($A39="","",MIN(N(N39),參數設定!$C$16))</f>
        <v/>
      </c>
      <c r="P39" s="54"/>
      <c r="Q39" s="51"/>
      <c r="R39" s="56"/>
      <c r="S39" s="56"/>
      <c r="T39" s="57"/>
      <c r="U39" s="57"/>
      <c r="V39" s="58" t="str">
        <f aca="false">IF($A39="","",COUNTIFS(眷屬名冊!$A$4:$A$203,$A39,眷屬名冊!$H$4:$H$203,"是"))</f>
        <v/>
      </c>
      <c r="W39" s="59"/>
    </row>
    <row r="40" customFormat="false" ht="15" hidden="false" customHeight="true" outlineLevel="0" collapsed="false">
      <c r="A40" s="51"/>
      <c r="B40" s="51"/>
      <c r="C40" s="51"/>
      <c r="D40" s="51"/>
      <c r="E40" s="53"/>
      <c r="F40" s="32" t="str">
        <f aca="false">IF(OR($A40="",$E40=""),"",DATEDIF($E40,參數設定!$C$20,"M"))</f>
        <v/>
      </c>
      <c r="G40" s="49" t="str">
        <f aca="false">IF($F40="","",INT($F40/12)&amp;"年"&amp;MOD($F40,12)&amp;"月")</f>
        <v/>
      </c>
      <c r="H40" s="32" t="str">
        <f aca="false">IF($F40="","",VLOOKUP($F40,參數設定!$G$3:$H$23,2,TRUE()))</f>
        <v/>
      </c>
      <c r="I40" s="45" t="str">
        <f aca="false">IF($A40="","",薪資結構!K40)</f>
        <v/>
      </c>
      <c r="J40" s="45" t="str">
        <f aca="false">IF(OR($A40="",$I40=""),"",VLOOKUP($I40,勞保級距表!$B$4:$D$14,3,TRUE()))</f>
        <v/>
      </c>
      <c r="K40" s="45" t="str">
        <f aca="false">IF(OR($A40="",$I40=""),"",VLOOKUP($I40,職保級距表!$B$4:$D$24,3,TRUE()))</f>
        <v/>
      </c>
      <c r="L40" s="45" t="str">
        <f aca="false">IF(OR($A40="",$I40=""),"",VLOOKUP($I40,健保級距表!$B$4:$D$61,3,TRUE()))</f>
        <v/>
      </c>
      <c r="M40" s="45" t="str">
        <f aca="false">IF(OR($A40="",$I40=""),"",VLOOKUP($I40,勞退級距表!$B$4:$D$65,3,TRUE()))</f>
        <v/>
      </c>
      <c r="N40" s="49" t="str">
        <f aca="false">IF($A40="","",COUNTIFS(眷屬名冊!$A$4:$A$203,$A40,眷屬名冊!$G$4:$G$203,"是"))</f>
        <v/>
      </c>
      <c r="O40" s="32" t="str">
        <f aca="false">IF($A40="","",MIN(N(N40),參數設定!$C$16))</f>
        <v/>
      </c>
      <c r="P40" s="54"/>
      <c r="Q40" s="51"/>
      <c r="R40" s="56"/>
      <c r="S40" s="56"/>
      <c r="T40" s="57"/>
      <c r="U40" s="57"/>
      <c r="V40" s="58" t="str">
        <f aca="false">IF($A40="","",COUNTIFS(眷屬名冊!$A$4:$A$203,$A40,眷屬名冊!$H$4:$H$203,"是"))</f>
        <v/>
      </c>
      <c r="W40" s="59"/>
    </row>
    <row r="41" customFormat="false" ht="15" hidden="false" customHeight="true" outlineLevel="0" collapsed="false">
      <c r="A41" s="51"/>
      <c r="B41" s="51"/>
      <c r="C41" s="51"/>
      <c r="D41" s="51"/>
      <c r="E41" s="53"/>
      <c r="F41" s="32" t="str">
        <f aca="false">IF(OR($A41="",$E41=""),"",DATEDIF($E41,參數設定!$C$20,"M"))</f>
        <v/>
      </c>
      <c r="G41" s="49" t="str">
        <f aca="false">IF($F41="","",INT($F41/12)&amp;"年"&amp;MOD($F41,12)&amp;"月")</f>
        <v/>
      </c>
      <c r="H41" s="32" t="str">
        <f aca="false">IF($F41="","",VLOOKUP($F41,參數設定!$G$3:$H$23,2,TRUE()))</f>
        <v/>
      </c>
      <c r="I41" s="45" t="str">
        <f aca="false">IF($A41="","",薪資結構!K41)</f>
        <v/>
      </c>
      <c r="J41" s="45" t="str">
        <f aca="false">IF(OR($A41="",$I41=""),"",VLOOKUP($I41,勞保級距表!$B$4:$D$14,3,TRUE()))</f>
        <v/>
      </c>
      <c r="K41" s="45" t="str">
        <f aca="false">IF(OR($A41="",$I41=""),"",VLOOKUP($I41,職保級距表!$B$4:$D$24,3,TRUE()))</f>
        <v/>
      </c>
      <c r="L41" s="45" t="str">
        <f aca="false">IF(OR($A41="",$I41=""),"",VLOOKUP($I41,健保級距表!$B$4:$D$61,3,TRUE()))</f>
        <v/>
      </c>
      <c r="M41" s="45" t="str">
        <f aca="false">IF(OR($A41="",$I41=""),"",VLOOKUP($I41,勞退級距表!$B$4:$D$65,3,TRUE()))</f>
        <v/>
      </c>
      <c r="N41" s="49" t="str">
        <f aca="false">IF($A41="","",COUNTIFS(眷屬名冊!$A$4:$A$203,$A41,眷屬名冊!$G$4:$G$203,"是"))</f>
        <v/>
      </c>
      <c r="O41" s="32" t="str">
        <f aca="false">IF($A41="","",MIN(N(N41),參數設定!$C$16))</f>
        <v/>
      </c>
      <c r="P41" s="54"/>
      <c r="Q41" s="51"/>
      <c r="R41" s="56"/>
      <c r="S41" s="56"/>
      <c r="T41" s="57"/>
      <c r="U41" s="57"/>
      <c r="V41" s="58" t="str">
        <f aca="false">IF($A41="","",COUNTIFS(眷屬名冊!$A$4:$A$203,$A41,眷屬名冊!$H$4:$H$203,"是"))</f>
        <v/>
      </c>
      <c r="W41" s="59"/>
    </row>
    <row r="42" customFormat="false" ht="15" hidden="false" customHeight="true" outlineLevel="0" collapsed="false">
      <c r="A42" s="51"/>
      <c r="B42" s="51"/>
      <c r="C42" s="51"/>
      <c r="D42" s="51"/>
      <c r="E42" s="53"/>
      <c r="F42" s="32" t="str">
        <f aca="false">IF(OR($A42="",$E42=""),"",DATEDIF($E42,參數設定!$C$20,"M"))</f>
        <v/>
      </c>
      <c r="G42" s="49" t="str">
        <f aca="false">IF($F42="","",INT($F42/12)&amp;"年"&amp;MOD($F42,12)&amp;"月")</f>
        <v/>
      </c>
      <c r="H42" s="32" t="str">
        <f aca="false">IF($F42="","",VLOOKUP($F42,參數設定!$G$3:$H$23,2,TRUE()))</f>
        <v/>
      </c>
      <c r="I42" s="45" t="str">
        <f aca="false">IF($A42="","",薪資結構!K42)</f>
        <v/>
      </c>
      <c r="J42" s="45" t="str">
        <f aca="false">IF(OR($A42="",$I42=""),"",VLOOKUP($I42,勞保級距表!$B$4:$D$14,3,TRUE()))</f>
        <v/>
      </c>
      <c r="K42" s="45" t="str">
        <f aca="false">IF(OR($A42="",$I42=""),"",VLOOKUP($I42,職保級距表!$B$4:$D$24,3,TRUE()))</f>
        <v/>
      </c>
      <c r="L42" s="45" t="str">
        <f aca="false">IF(OR($A42="",$I42=""),"",VLOOKUP($I42,健保級距表!$B$4:$D$61,3,TRUE()))</f>
        <v/>
      </c>
      <c r="M42" s="45" t="str">
        <f aca="false">IF(OR($A42="",$I42=""),"",VLOOKUP($I42,勞退級距表!$B$4:$D$65,3,TRUE()))</f>
        <v/>
      </c>
      <c r="N42" s="49" t="str">
        <f aca="false">IF($A42="","",COUNTIFS(眷屬名冊!$A$4:$A$203,$A42,眷屬名冊!$G$4:$G$203,"是"))</f>
        <v/>
      </c>
      <c r="O42" s="32" t="str">
        <f aca="false">IF($A42="","",MIN(N(N42),參數設定!$C$16))</f>
        <v/>
      </c>
      <c r="P42" s="54"/>
      <c r="Q42" s="51"/>
      <c r="R42" s="56"/>
      <c r="S42" s="56"/>
      <c r="T42" s="57"/>
      <c r="U42" s="57"/>
      <c r="V42" s="58" t="str">
        <f aca="false">IF($A42="","",COUNTIFS(眷屬名冊!$A$4:$A$203,$A42,眷屬名冊!$H$4:$H$203,"是"))</f>
        <v/>
      </c>
      <c r="W42" s="59"/>
    </row>
    <row r="43" customFormat="false" ht="15" hidden="false" customHeight="true" outlineLevel="0" collapsed="false">
      <c r="A43" s="51"/>
      <c r="B43" s="51"/>
      <c r="C43" s="51"/>
      <c r="D43" s="51"/>
      <c r="E43" s="53"/>
      <c r="F43" s="32" t="str">
        <f aca="false">IF(OR($A43="",$E43=""),"",DATEDIF($E43,參數設定!$C$20,"M"))</f>
        <v/>
      </c>
      <c r="G43" s="49" t="str">
        <f aca="false">IF($F43="","",INT($F43/12)&amp;"年"&amp;MOD($F43,12)&amp;"月")</f>
        <v/>
      </c>
      <c r="H43" s="32" t="str">
        <f aca="false">IF($F43="","",VLOOKUP($F43,參數設定!$G$3:$H$23,2,TRUE()))</f>
        <v/>
      </c>
      <c r="I43" s="45" t="str">
        <f aca="false">IF($A43="","",薪資結構!K43)</f>
        <v/>
      </c>
      <c r="J43" s="45" t="str">
        <f aca="false">IF(OR($A43="",$I43=""),"",VLOOKUP($I43,勞保級距表!$B$4:$D$14,3,TRUE()))</f>
        <v/>
      </c>
      <c r="K43" s="45" t="str">
        <f aca="false">IF(OR($A43="",$I43=""),"",VLOOKUP($I43,職保級距表!$B$4:$D$24,3,TRUE()))</f>
        <v/>
      </c>
      <c r="L43" s="45" t="str">
        <f aca="false">IF(OR($A43="",$I43=""),"",VLOOKUP($I43,健保級距表!$B$4:$D$61,3,TRUE()))</f>
        <v/>
      </c>
      <c r="M43" s="45" t="str">
        <f aca="false">IF(OR($A43="",$I43=""),"",VLOOKUP($I43,勞退級距表!$B$4:$D$65,3,TRUE()))</f>
        <v/>
      </c>
      <c r="N43" s="49" t="str">
        <f aca="false">IF($A43="","",COUNTIFS(眷屬名冊!$A$4:$A$203,$A43,眷屬名冊!$G$4:$G$203,"是"))</f>
        <v/>
      </c>
      <c r="O43" s="32" t="str">
        <f aca="false">IF($A43="","",MIN(N(N43),參數設定!$C$16))</f>
        <v/>
      </c>
      <c r="P43" s="54"/>
      <c r="Q43" s="51"/>
      <c r="R43" s="56"/>
      <c r="S43" s="56"/>
      <c r="T43" s="57"/>
      <c r="U43" s="57"/>
      <c r="V43" s="58" t="str">
        <f aca="false">IF($A43="","",COUNTIFS(眷屬名冊!$A$4:$A$203,$A43,眷屬名冊!$H$4:$H$203,"是"))</f>
        <v/>
      </c>
      <c r="W43" s="59"/>
    </row>
    <row r="44" customFormat="false" ht="15" hidden="false" customHeight="true" outlineLevel="0" collapsed="false">
      <c r="A44" s="51"/>
      <c r="B44" s="51"/>
      <c r="C44" s="51"/>
      <c r="D44" s="51"/>
      <c r="E44" s="53"/>
      <c r="F44" s="32" t="str">
        <f aca="false">IF(OR($A44="",$E44=""),"",DATEDIF($E44,參數設定!$C$20,"M"))</f>
        <v/>
      </c>
      <c r="G44" s="49" t="str">
        <f aca="false">IF($F44="","",INT($F44/12)&amp;"年"&amp;MOD($F44,12)&amp;"月")</f>
        <v/>
      </c>
      <c r="H44" s="32" t="str">
        <f aca="false">IF($F44="","",VLOOKUP($F44,參數設定!$G$3:$H$23,2,TRUE()))</f>
        <v/>
      </c>
      <c r="I44" s="45" t="str">
        <f aca="false">IF($A44="","",薪資結構!K44)</f>
        <v/>
      </c>
      <c r="J44" s="45" t="str">
        <f aca="false">IF(OR($A44="",$I44=""),"",VLOOKUP($I44,勞保級距表!$B$4:$D$14,3,TRUE()))</f>
        <v/>
      </c>
      <c r="K44" s="45" t="str">
        <f aca="false">IF(OR($A44="",$I44=""),"",VLOOKUP($I44,職保級距表!$B$4:$D$24,3,TRUE()))</f>
        <v/>
      </c>
      <c r="L44" s="45" t="str">
        <f aca="false">IF(OR($A44="",$I44=""),"",VLOOKUP($I44,健保級距表!$B$4:$D$61,3,TRUE()))</f>
        <v/>
      </c>
      <c r="M44" s="45" t="str">
        <f aca="false">IF(OR($A44="",$I44=""),"",VLOOKUP($I44,勞退級距表!$B$4:$D$65,3,TRUE()))</f>
        <v/>
      </c>
      <c r="N44" s="49" t="str">
        <f aca="false">IF($A44="","",COUNTIFS(眷屬名冊!$A$4:$A$203,$A44,眷屬名冊!$G$4:$G$203,"是"))</f>
        <v/>
      </c>
      <c r="O44" s="32" t="str">
        <f aca="false">IF($A44="","",MIN(N(N44),參數設定!$C$16))</f>
        <v/>
      </c>
      <c r="P44" s="54"/>
      <c r="Q44" s="51"/>
      <c r="R44" s="56"/>
      <c r="S44" s="56"/>
      <c r="T44" s="57"/>
      <c r="U44" s="57"/>
      <c r="V44" s="58" t="str">
        <f aca="false">IF($A44="","",COUNTIFS(眷屬名冊!$A$4:$A$203,$A44,眷屬名冊!$H$4:$H$203,"是"))</f>
        <v/>
      </c>
      <c r="W44" s="59"/>
    </row>
    <row r="45" customFormat="false" ht="15" hidden="false" customHeight="true" outlineLevel="0" collapsed="false">
      <c r="A45" s="51"/>
      <c r="B45" s="51"/>
      <c r="C45" s="51"/>
      <c r="D45" s="51"/>
      <c r="E45" s="53"/>
      <c r="F45" s="32" t="str">
        <f aca="false">IF(OR($A45="",$E45=""),"",DATEDIF($E45,參數設定!$C$20,"M"))</f>
        <v/>
      </c>
      <c r="G45" s="49" t="str">
        <f aca="false">IF($F45="","",INT($F45/12)&amp;"年"&amp;MOD($F45,12)&amp;"月")</f>
        <v/>
      </c>
      <c r="H45" s="32" t="str">
        <f aca="false">IF($F45="","",VLOOKUP($F45,參數設定!$G$3:$H$23,2,TRUE()))</f>
        <v/>
      </c>
      <c r="I45" s="45" t="str">
        <f aca="false">IF($A45="","",薪資結構!K45)</f>
        <v/>
      </c>
      <c r="J45" s="45" t="str">
        <f aca="false">IF(OR($A45="",$I45=""),"",VLOOKUP($I45,勞保級距表!$B$4:$D$14,3,TRUE()))</f>
        <v/>
      </c>
      <c r="K45" s="45" t="str">
        <f aca="false">IF(OR($A45="",$I45=""),"",VLOOKUP($I45,職保級距表!$B$4:$D$24,3,TRUE()))</f>
        <v/>
      </c>
      <c r="L45" s="45" t="str">
        <f aca="false">IF(OR($A45="",$I45=""),"",VLOOKUP($I45,健保級距表!$B$4:$D$61,3,TRUE()))</f>
        <v/>
      </c>
      <c r="M45" s="45" t="str">
        <f aca="false">IF(OR($A45="",$I45=""),"",VLOOKUP($I45,勞退級距表!$B$4:$D$65,3,TRUE()))</f>
        <v/>
      </c>
      <c r="N45" s="49" t="str">
        <f aca="false">IF($A45="","",COUNTIFS(眷屬名冊!$A$4:$A$203,$A45,眷屬名冊!$G$4:$G$203,"是"))</f>
        <v/>
      </c>
      <c r="O45" s="32" t="str">
        <f aca="false">IF($A45="","",MIN(N(N45),參數設定!$C$16))</f>
        <v/>
      </c>
      <c r="P45" s="54"/>
      <c r="Q45" s="51"/>
      <c r="R45" s="56"/>
      <c r="S45" s="56"/>
      <c r="T45" s="57"/>
      <c r="U45" s="57"/>
      <c r="V45" s="58" t="str">
        <f aca="false">IF($A45="","",COUNTIFS(眷屬名冊!$A$4:$A$203,$A45,眷屬名冊!$H$4:$H$203,"是"))</f>
        <v/>
      </c>
      <c r="W45" s="59"/>
    </row>
    <row r="46" customFormat="false" ht="15" hidden="false" customHeight="true" outlineLevel="0" collapsed="false">
      <c r="A46" s="51"/>
      <c r="B46" s="51"/>
      <c r="C46" s="51"/>
      <c r="D46" s="51"/>
      <c r="E46" s="53"/>
      <c r="F46" s="32" t="str">
        <f aca="false">IF(OR($A46="",$E46=""),"",DATEDIF($E46,參數設定!$C$20,"M"))</f>
        <v/>
      </c>
      <c r="G46" s="49" t="str">
        <f aca="false">IF($F46="","",INT($F46/12)&amp;"年"&amp;MOD($F46,12)&amp;"月")</f>
        <v/>
      </c>
      <c r="H46" s="32" t="str">
        <f aca="false">IF($F46="","",VLOOKUP($F46,參數設定!$G$3:$H$23,2,TRUE()))</f>
        <v/>
      </c>
      <c r="I46" s="45" t="str">
        <f aca="false">IF($A46="","",薪資結構!K46)</f>
        <v/>
      </c>
      <c r="J46" s="45" t="str">
        <f aca="false">IF(OR($A46="",$I46=""),"",VLOOKUP($I46,勞保級距表!$B$4:$D$14,3,TRUE()))</f>
        <v/>
      </c>
      <c r="K46" s="45" t="str">
        <f aca="false">IF(OR($A46="",$I46=""),"",VLOOKUP($I46,職保級距表!$B$4:$D$24,3,TRUE()))</f>
        <v/>
      </c>
      <c r="L46" s="45" t="str">
        <f aca="false">IF(OR($A46="",$I46=""),"",VLOOKUP($I46,健保級距表!$B$4:$D$61,3,TRUE()))</f>
        <v/>
      </c>
      <c r="M46" s="45" t="str">
        <f aca="false">IF(OR($A46="",$I46=""),"",VLOOKUP($I46,勞退級距表!$B$4:$D$65,3,TRUE()))</f>
        <v/>
      </c>
      <c r="N46" s="49" t="str">
        <f aca="false">IF($A46="","",COUNTIFS(眷屬名冊!$A$4:$A$203,$A46,眷屬名冊!$G$4:$G$203,"是"))</f>
        <v/>
      </c>
      <c r="O46" s="32" t="str">
        <f aca="false">IF($A46="","",MIN(N(N46),參數設定!$C$16))</f>
        <v/>
      </c>
      <c r="P46" s="54"/>
      <c r="Q46" s="51"/>
      <c r="R46" s="56"/>
      <c r="S46" s="56"/>
      <c r="T46" s="57"/>
      <c r="U46" s="57"/>
      <c r="V46" s="58" t="str">
        <f aca="false">IF($A46="","",COUNTIFS(眷屬名冊!$A$4:$A$203,$A46,眷屬名冊!$H$4:$H$203,"是"))</f>
        <v/>
      </c>
      <c r="W46" s="59"/>
    </row>
    <row r="47" customFormat="false" ht="15" hidden="false" customHeight="true" outlineLevel="0" collapsed="false">
      <c r="A47" s="51"/>
      <c r="B47" s="51"/>
      <c r="C47" s="51"/>
      <c r="D47" s="51"/>
      <c r="E47" s="53"/>
      <c r="F47" s="32" t="str">
        <f aca="false">IF(OR($A47="",$E47=""),"",DATEDIF($E47,參數設定!$C$20,"M"))</f>
        <v/>
      </c>
      <c r="G47" s="49" t="str">
        <f aca="false">IF($F47="","",INT($F47/12)&amp;"年"&amp;MOD($F47,12)&amp;"月")</f>
        <v/>
      </c>
      <c r="H47" s="32" t="str">
        <f aca="false">IF($F47="","",VLOOKUP($F47,參數設定!$G$3:$H$23,2,TRUE()))</f>
        <v/>
      </c>
      <c r="I47" s="45" t="str">
        <f aca="false">IF($A47="","",薪資結構!K47)</f>
        <v/>
      </c>
      <c r="J47" s="45" t="str">
        <f aca="false">IF(OR($A47="",$I47=""),"",VLOOKUP($I47,勞保級距表!$B$4:$D$14,3,TRUE()))</f>
        <v/>
      </c>
      <c r="K47" s="45" t="str">
        <f aca="false">IF(OR($A47="",$I47=""),"",VLOOKUP($I47,職保級距表!$B$4:$D$24,3,TRUE()))</f>
        <v/>
      </c>
      <c r="L47" s="45" t="str">
        <f aca="false">IF(OR($A47="",$I47=""),"",VLOOKUP($I47,健保級距表!$B$4:$D$61,3,TRUE()))</f>
        <v/>
      </c>
      <c r="M47" s="45" t="str">
        <f aca="false">IF(OR($A47="",$I47=""),"",VLOOKUP($I47,勞退級距表!$B$4:$D$65,3,TRUE()))</f>
        <v/>
      </c>
      <c r="N47" s="49" t="str">
        <f aca="false">IF($A47="","",COUNTIFS(眷屬名冊!$A$4:$A$203,$A47,眷屬名冊!$G$4:$G$203,"是"))</f>
        <v/>
      </c>
      <c r="O47" s="32" t="str">
        <f aca="false">IF($A47="","",MIN(N(N47),參數設定!$C$16))</f>
        <v/>
      </c>
      <c r="P47" s="54"/>
      <c r="Q47" s="51"/>
      <c r="R47" s="56"/>
      <c r="S47" s="56"/>
      <c r="T47" s="57"/>
      <c r="U47" s="57"/>
      <c r="V47" s="58" t="str">
        <f aca="false">IF($A47="","",COUNTIFS(眷屬名冊!$A$4:$A$203,$A47,眷屬名冊!$H$4:$H$203,"是"))</f>
        <v/>
      </c>
      <c r="W47" s="59"/>
    </row>
    <row r="48" customFormat="false" ht="15" hidden="false" customHeight="true" outlineLevel="0" collapsed="false">
      <c r="A48" s="51"/>
      <c r="B48" s="51"/>
      <c r="C48" s="51"/>
      <c r="D48" s="51"/>
      <c r="E48" s="53"/>
      <c r="F48" s="32" t="str">
        <f aca="false">IF(OR($A48="",$E48=""),"",DATEDIF($E48,參數設定!$C$20,"M"))</f>
        <v/>
      </c>
      <c r="G48" s="49" t="str">
        <f aca="false">IF($F48="","",INT($F48/12)&amp;"年"&amp;MOD($F48,12)&amp;"月")</f>
        <v/>
      </c>
      <c r="H48" s="32" t="str">
        <f aca="false">IF($F48="","",VLOOKUP($F48,參數設定!$G$3:$H$23,2,TRUE()))</f>
        <v/>
      </c>
      <c r="I48" s="45" t="str">
        <f aca="false">IF($A48="","",薪資結構!K48)</f>
        <v/>
      </c>
      <c r="J48" s="45" t="str">
        <f aca="false">IF(OR($A48="",$I48=""),"",VLOOKUP($I48,勞保級距表!$B$4:$D$14,3,TRUE()))</f>
        <v/>
      </c>
      <c r="K48" s="45" t="str">
        <f aca="false">IF(OR($A48="",$I48=""),"",VLOOKUP($I48,職保級距表!$B$4:$D$24,3,TRUE()))</f>
        <v/>
      </c>
      <c r="L48" s="45" t="str">
        <f aca="false">IF(OR($A48="",$I48=""),"",VLOOKUP($I48,健保級距表!$B$4:$D$61,3,TRUE()))</f>
        <v/>
      </c>
      <c r="M48" s="45" t="str">
        <f aca="false">IF(OR($A48="",$I48=""),"",VLOOKUP($I48,勞退級距表!$B$4:$D$65,3,TRUE()))</f>
        <v/>
      </c>
      <c r="N48" s="49" t="str">
        <f aca="false">IF($A48="","",COUNTIFS(眷屬名冊!$A$4:$A$203,$A48,眷屬名冊!$G$4:$G$203,"是"))</f>
        <v/>
      </c>
      <c r="O48" s="32" t="str">
        <f aca="false">IF($A48="","",MIN(N(N48),參數設定!$C$16))</f>
        <v/>
      </c>
      <c r="P48" s="54"/>
      <c r="Q48" s="51"/>
      <c r="R48" s="56"/>
      <c r="S48" s="56"/>
      <c r="T48" s="57"/>
      <c r="U48" s="57"/>
      <c r="V48" s="58" t="str">
        <f aca="false">IF($A48="","",COUNTIFS(眷屬名冊!$A$4:$A$203,$A48,眷屬名冊!$H$4:$H$203,"是"))</f>
        <v/>
      </c>
      <c r="W48" s="59"/>
    </row>
    <row r="49" customFormat="false" ht="15" hidden="false" customHeight="true" outlineLevel="0" collapsed="false">
      <c r="A49" s="51"/>
      <c r="B49" s="51"/>
      <c r="C49" s="51"/>
      <c r="D49" s="51"/>
      <c r="E49" s="53"/>
      <c r="F49" s="32" t="str">
        <f aca="false">IF(OR($A49="",$E49=""),"",DATEDIF($E49,參數設定!$C$20,"M"))</f>
        <v/>
      </c>
      <c r="G49" s="49" t="str">
        <f aca="false">IF($F49="","",INT($F49/12)&amp;"年"&amp;MOD($F49,12)&amp;"月")</f>
        <v/>
      </c>
      <c r="H49" s="32" t="str">
        <f aca="false">IF($F49="","",VLOOKUP($F49,參數設定!$G$3:$H$23,2,TRUE()))</f>
        <v/>
      </c>
      <c r="I49" s="45" t="str">
        <f aca="false">IF($A49="","",薪資結構!K49)</f>
        <v/>
      </c>
      <c r="J49" s="45" t="str">
        <f aca="false">IF(OR($A49="",$I49=""),"",VLOOKUP($I49,勞保級距表!$B$4:$D$14,3,TRUE()))</f>
        <v/>
      </c>
      <c r="K49" s="45" t="str">
        <f aca="false">IF(OR($A49="",$I49=""),"",VLOOKUP($I49,職保級距表!$B$4:$D$24,3,TRUE()))</f>
        <v/>
      </c>
      <c r="L49" s="45" t="str">
        <f aca="false">IF(OR($A49="",$I49=""),"",VLOOKUP($I49,健保級距表!$B$4:$D$61,3,TRUE()))</f>
        <v/>
      </c>
      <c r="M49" s="45" t="str">
        <f aca="false">IF(OR($A49="",$I49=""),"",VLOOKUP($I49,勞退級距表!$B$4:$D$65,3,TRUE()))</f>
        <v/>
      </c>
      <c r="N49" s="49" t="str">
        <f aca="false">IF($A49="","",COUNTIFS(眷屬名冊!$A$4:$A$203,$A49,眷屬名冊!$G$4:$G$203,"是"))</f>
        <v/>
      </c>
      <c r="O49" s="32" t="str">
        <f aca="false">IF($A49="","",MIN(N(N49),參數設定!$C$16))</f>
        <v/>
      </c>
      <c r="P49" s="54"/>
      <c r="Q49" s="51"/>
      <c r="R49" s="56"/>
      <c r="S49" s="56"/>
      <c r="T49" s="57"/>
      <c r="U49" s="57"/>
      <c r="V49" s="58" t="str">
        <f aca="false">IF($A49="","",COUNTIFS(眷屬名冊!$A$4:$A$203,$A49,眷屬名冊!$H$4:$H$203,"是"))</f>
        <v/>
      </c>
      <c r="W49" s="59"/>
    </row>
    <row r="50" customFormat="false" ht="15" hidden="false" customHeight="true" outlineLevel="0" collapsed="false">
      <c r="A50" s="51"/>
      <c r="B50" s="51"/>
      <c r="C50" s="51"/>
      <c r="D50" s="51"/>
      <c r="E50" s="53"/>
      <c r="F50" s="32" t="str">
        <f aca="false">IF(OR($A50="",$E50=""),"",DATEDIF($E50,參數設定!$C$20,"M"))</f>
        <v/>
      </c>
      <c r="G50" s="49" t="str">
        <f aca="false">IF($F50="","",INT($F50/12)&amp;"年"&amp;MOD($F50,12)&amp;"月")</f>
        <v/>
      </c>
      <c r="H50" s="32" t="str">
        <f aca="false">IF($F50="","",VLOOKUP($F50,參數設定!$G$3:$H$23,2,TRUE()))</f>
        <v/>
      </c>
      <c r="I50" s="45" t="str">
        <f aca="false">IF($A50="","",薪資結構!K50)</f>
        <v/>
      </c>
      <c r="J50" s="45" t="str">
        <f aca="false">IF(OR($A50="",$I50=""),"",VLOOKUP($I50,勞保級距表!$B$4:$D$14,3,TRUE()))</f>
        <v/>
      </c>
      <c r="K50" s="45" t="str">
        <f aca="false">IF(OR($A50="",$I50=""),"",VLOOKUP($I50,職保級距表!$B$4:$D$24,3,TRUE()))</f>
        <v/>
      </c>
      <c r="L50" s="45" t="str">
        <f aca="false">IF(OR($A50="",$I50=""),"",VLOOKUP($I50,健保級距表!$B$4:$D$61,3,TRUE()))</f>
        <v/>
      </c>
      <c r="M50" s="45" t="str">
        <f aca="false">IF(OR($A50="",$I50=""),"",VLOOKUP($I50,勞退級距表!$B$4:$D$65,3,TRUE()))</f>
        <v/>
      </c>
      <c r="N50" s="49" t="str">
        <f aca="false">IF($A50="","",COUNTIFS(眷屬名冊!$A$4:$A$203,$A50,眷屬名冊!$G$4:$G$203,"是"))</f>
        <v/>
      </c>
      <c r="O50" s="32" t="str">
        <f aca="false">IF($A50="","",MIN(N(N50),參數設定!$C$16))</f>
        <v/>
      </c>
      <c r="P50" s="54"/>
      <c r="Q50" s="51"/>
      <c r="R50" s="56"/>
      <c r="S50" s="56"/>
      <c r="T50" s="57"/>
      <c r="U50" s="57"/>
      <c r="V50" s="58" t="str">
        <f aca="false">IF($A50="","",COUNTIFS(眷屬名冊!$A$4:$A$203,$A50,眷屬名冊!$H$4:$H$203,"是"))</f>
        <v/>
      </c>
      <c r="W50" s="59"/>
    </row>
    <row r="51" customFormat="false" ht="15" hidden="false" customHeight="true" outlineLevel="0" collapsed="false">
      <c r="A51" s="51"/>
      <c r="B51" s="51"/>
      <c r="C51" s="51"/>
      <c r="D51" s="51"/>
      <c r="E51" s="53"/>
      <c r="F51" s="32" t="str">
        <f aca="false">IF(OR($A51="",$E51=""),"",DATEDIF($E51,參數設定!$C$20,"M"))</f>
        <v/>
      </c>
      <c r="G51" s="49" t="str">
        <f aca="false">IF($F51="","",INT($F51/12)&amp;"年"&amp;MOD($F51,12)&amp;"月")</f>
        <v/>
      </c>
      <c r="H51" s="32" t="str">
        <f aca="false">IF($F51="","",VLOOKUP($F51,參數設定!$G$3:$H$23,2,TRUE()))</f>
        <v/>
      </c>
      <c r="I51" s="45" t="str">
        <f aca="false">IF($A51="","",薪資結構!K51)</f>
        <v/>
      </c>
      <c r="J51" s="45" t="str">
        <f aca="false">IF(OR($A51="",$I51=""),"",VLOOKUP($I51,勞保級距表!$B$4:$D$14,3,TRUE()))</f>
        <v/>
      </c>
      <c r="K51" s="45" t="str">
        <f aca="false">IF(OR($A51="",$I51=""),"",VLOOKUP($I51,職保級距表!$B$4:$D$24,3,TRUE()))</f>
        <v/>
      </c>
      <c r="L51" s="45" t="str">
        <f aca="false">IF(OR($A51="",$I51=""),"",VLOOKUP($I51,健保級距表!$B$4:$D$61,3,TRUE()))</f>
        <v/>
      </c>
      <c r="M51" s="45" t="str">
        <f aca="false">IF(OR($A51="",$I51=""),"",VLOOKUP($I51,勞退級距表!$B$4:$D$65,3,TRUE()))</f>
        <v/>
      </c>
      <c r="N51" s="49" t="str">
        <f aca="false">IF($A51="","",COUNTIFS(眷屬名冊!$A$4:$A$203,$A51,眷屬名冊!$G$4:$G$203,"是"))</f>
        <v/>
      </c>
      <c r="O51" s="32" t="str">
        <f aca="false">IF($A51="","",MIN(N(N51),參數設定!$C$16))</f>
        <v/>
      </c>
      <c r="P51" s="54"/>
      <c r="Q51" s="51"/>
      <c r="R51" s="56"/>
      <c r="S51" s="56"/>
      <c r="T51" s="57"/>
      <c r="U51" s="57"/>
      <c r="V51" s="58" t="str">
        <f aca="false">IF($A51="","",COUNTIFS(眷屬名冊!$A$4:$A$203,$A51,眷屬名冊!$H$4:$H$203,"是"))</f>
        <v/>
      </c>
      <c r="W51" s="59"/>
    </row>
    <row r="52" customFormat="false" ht="15" hidden="false" customHeight="true" outlineLevel="0" collapsed="false">
      <c r="A52" s="51"/>
      <c r="B52" s="51"/>
      <c r="C52" s="51"/>
      <c r="D52" s="51"/>
      <c r="E52" s="53"/>
      <c r="F52" s="32" t="str">
        <f aca="false">IF(OR($A52="",$E52=""),"",DATEDIF($E52,參數設定!$C$20,"M"))</f>
        <v/>
      </c>
      <c r="G52" s="49" t="str">
        <f aca="false">IF($F52="","",INT($F52/12)&amp;"年"&amp;MOD($F52,12)&amp;"月")</f>
        <v/>
      </c>
      <c r="H52" s="32" t="str">
        <f aca="false">IF($F52="","",VLOOKUP($F52,參數設定!$G$3:$H$23,2,TRUE()))</f>
        <v/>
      </c>
      <c r="I52" s="45" t="str">
        <f aca="false">IF($A52="","",薪資結構!K52)</f>
        <v/>
      </c>
      <c r="J52" s="45" t="str">
        <f aca="false">IF(OR($A52="",$I52=""),"",VLOOKUP($I52,勞保級距表!$B$4:$D$14,3,TRUE()))</f>
        <v/>
      </c>
      <c r="K52" s="45" t="str">
        <f aca="false">IF(OR($A52="",$I52=""),"",VLOOKUP($I52,職保級距表!$B$4:$D$24,3,TRUE()))</f>
        <v/>
      </c>
      <c r="L52" s="45" t="str">
        <f aca="false">IF(OR($A52="",$I52=""),"",VLOOKUP($I52,健保級距表!$B$4:$D$61,3,TRUE()))</f>
        <v/>
      </c>
      <c r="M52" s="45" t="str">
        <f aca="false">IF(OR($A52="",$I52=""),"",VLOOKUP($I52,勞退級距表!$B$4:$D$65,3,TRUE()))</f>
        <v/>
      </c>
      <c r="N52" s="49" t="str">
        <f aca="false">IF($A52="","",COUNTIFS(眷屬名冊!$A$4:$A$203,$A52,眷屬名冊!$G$4:$G$203,"是"))</f>
        <v/>
      </c>
      <c r="O52" s="32" t="str">
        <f aca="false">IF($A52="","",MIN(N(N52),參數設定!$C$16))</f>
        <v/>
      </c>
      <c r="P52" s="54"/>
      <c r="Q52" s="51"/>
      <c r="R52" s="56"/>
      <c r="S52" s="56"/>
      <c r="T52" s="57"/>
      <c r="U52" s="57"/>
      <c r="V52" s="58" t="str">
        <f aca="false">IF($A52="","",COUNTIFS(眷屬名冊!$A$4:$A$203,$A52,眷屬名冊!$H$4:$H$203,"是"))</f>
        <v/>
      </c>
      <c r="W52" s="59"/>
    </row>
    <row r="53" customFormat="false" ht="15" hidden="false" customHeight="true" outlineLevel="0" collapsed="false">
      <c r="A53" s="51"/>
      <c r="B53" s="51"/>
      <c r="C53" s="51"/>
      <c r="D53" s="51"/>
      <c r="E53" s="53"/>
      <c r="F53" s="32" t="str">
        <f aca="false">IF(OR($A53="",$E53=""),"",DATEDIF($E53,參數設定!$C$20,"M"))</f>
        <v/>
      </c>
      <c r="G53" s="49" t="str">
        <f aca="false">IF($F53="","",INT($F53/12)&amp;"年"&amp;MOD($F53,12)&amp;"月")</f>
        <v/>
      </c>
      <c r="H53" s="32" t="str">
        <f aca="false">IF($F53="","",VLOOKUP($F53,參數設定!$G$3:$H$23,2,TRUE()))</f>
        <v/>
      </c>
      <c r="I53" s="45" t="str">
        <f aca="false">IF($A53="","",薪資結構!K53)</f>
        <v/>
      </c>
      <c r="J53" s="45" t="str">
        <f aca="false">IF(OR($A53="",$I53=""),"",VLOOKUP($I53,勞保級距表!$B$4:$D$14,3,TRUE()))</f>
        <v/>
      </c>
      <c r="K53" s="45" t="str">
        <f aca="false">IF(OR($A53="",$I53=""),"",VLOOKUP($I53,職保級距表!$B$4:$D$24,3,TRUE()))</f>
        <v/>
      </c>
      <c r="L53" s="45" t="str">
        <f aca="false">IF(OR($A53="",$I53=""),"",VLOOKUP($I53,健保級距表!$B$4:$D$61,3,TRUE()))</f>
        <v/>
      </c>
      <c r="M53" s="45" t="str">
        <f aca="false">IF(OR($A53="",$I53=""),"",VLOOKUP($I53,勞退級距表!$B$4:$D$65,3,TRUE()))</f>
        <v/>
      </c>
      <c r="N53" s="49" t="str">
        <f aca="false">IF($A53="","",COUNTIFS(眷屬名冊!$A$4:$A$203,$A53,眷屬名冊!$G$4:$G$203,"是"))</f>
        <v/>
      </c>
      <c r="O53" s="32" t="str">
        <f aca="false">IF($A53="","",MIN(N(N53),參數設定!$C$16))</f>
        <v/>
      </c>
      <c r="P53" s="54"/>
      <c r="Q53" s="51"/>
      <c r="R53" s="56"/>
      <c r="S53" s="56"/>
      <c r="T53" s="57"/>
      <c r="U53" s="57"/>
      <c r="V53" s="58" t="str">
        <f aca="false">IF($A53="","",COUNTIFS(眷屬名冊!$A$4:$A$203,$A53,眷屬名冊!$H$4:$H$203,"是"))</f>
        <v/>
      </c>
      <c r="W53" s="59"/>
    </row>
  </sheetData>
  <mergeCells count="2">
    <mergeCell ref="A1:Q1"/>
    <mergeCell ref="A2:Q2"/>
  </mergeCells>
  <dataValidations count="3">
    <dataValidation allowBlank="true" error="勞退自提率須介於 0% ~ 6%" errorStyle="stop" errorTitle="自提率限制" operator="between" showDropDown="false" showErrorMessage="false" showInputMessage="false" sqref="P4:P53" type="decimal">
      <formula1>0</formula1>
      <formula2>0.06</formula2>
    </dataValidation>
    <dataValidation allowBlank="true" errorStyle="stop" operator="between" showDropDown="false" showErrorMessage="false" showInputMessage="false" sqref="T4:T53" type="list">
      <formula1>"居住者,非居住者"</formula1>
      <formula2>0</formula2>
    </dataValidation>
    <dataValidation allowBlank="true" errorStyle="stop" operator="between" showDropDown="false" showErrorMessage="false" showInputMessage="false" sqref="U4:U53" type="list">
      <formula1>"依扣繳稅額表,固定5%"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4F72"/>
    <pageSetUpPr fitToPage="false"/>
  </sheetPr>
  <dimension ref="A1:I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9"/>
    <col collapsed="false" customWidth="true" hidden="false" outlineLevel="0" max="9" min="9" style="0" width="24"/>
  </cols>
  <sheetData>
    <row r="1" customFormat="false" ht="25.5" hidden="false" customHeight="true" outlineLevel="0" collapsed="false">
      <c r="A1" s="12" t="s">
        <v>523</v>
      </c>
      <c r="B1" s="12"/>
      <c r="C1" s="12"/>
      <c r="D1" s="12"/>
      <c r="E1" s="12"/>
      <c r="F1" s="12"/>
      <c r="G1" s="12"/>
      <c r="H1" s="12"/>
      <c r="I1" s="12"/>
    </row>
    <row r="2" customFormat="false" ht="27.75" hidden="false" customHeight="true" outlineLevel="0" collapsed="false">
      <c r="A2" s="13" t="s">
        <v>524</v>
      </c>
      <c r="B2" s="13"/>
      <c r="C2" s="13"/>
      <c r="D2" s="13"/>
      <c r="E2" s="13"/>
      <c r="F2" s="13"/>
      <c r="G2" s="13"/>
      <c r="H2" s="13"/>
      <c r="I2" s="13"/>
    </row>
    <row r="3" customFormat="false" ht="30" hidden="false" customHeight="true" outlineLevel="0" collapsed="false">
      <c r="A3" s="61" t="s">
        <v>59</v>
      </c>
      <c r="B3" s="62" t="s">
        <v>525</v>
      </c>
      <c r="C3" s="61" t="s">
        <v>133</v>
      </c>
      <c r="D3" s="61" t="s">
        <v>135</v>
      </c>
      <c r="E3" s="61" t="s">
        <v>137</v>
      </c>
      <c r="F3" s="61" t="s">
        <v>526</v>
      </c>
      <c r="G3" s="61" t="s">
        <v>527</v>
      </c>
      <c r="H3" s="61" t="s">
        <v>528</v>
      </c>
      <c r="I3" s="61" t="s">
        <v>109</v>
      </c>
    </row>
    <row r="4" customFormat="false" ht="15" hidden="false" customHeight="false" outlineLevel="0" collapsed="false">
      <c r="A4" s="56" t="s">
        <v>481</v>
      </c>
      <c r="B4" s="63" t="str">
        <f aca="false">IF($A4="","",IFERROR(VLOOKUP($A4,員工清單!$A$4:$B$53,2,FALSE()),"⚠查無此員編"))</f>
        <v>王小明</v>
      </c>
      <c r="C4" s="64" t="s">
        <v>529</v>
      </c>
      <c r="D4" s="64" t="s">
        <v>530</v>
      </c>
      <c r="E4" s="59" t="n">
        <v>33732</v>
      </c>
      <c r="F4" s="64"/>
      <c r="G4" s="64" t="s">
        <v>531</v>
      </c>
      <c r="H4" s="64" t="s">
        <v>531</v>
      </c>
      <c r="I4" s="65"/>
    </row>
    <row r="5" customFormat="false" ht="15" hidden="false" customHeight="false" outlineLevel="0" collapsed="false">
      <c r="A5" s="56" t="s">
        <v>495</v>
      </c>
      <c r="B5" s="63" t="str">
        <f aca="false">IF($A5="","",IFERROR(VLOOKUP($A5,員工清單!$A$4:$B$53,2,FALSE()),"⚠查無此員編"))</f>
        <v>張志豪</v>
      </c>
      <c r="C5" s="64" t="s">
        <v>532</v>
      </c>
      <c r="D5" s="64" t="s">
        <v>530</v>
      </c>
      <c r="E5" s="59" t="n">
        <v>31128</v>
      </c>
      <c r="F5" s="64"/>
      <c r="G5" s="64" t="s">
        <v>531</v>
      </c>
      <c r="H5" s="64" t="s">
        <v>531</v>
      </c>
      <c r="I5" s="65"/>
    </row>
    <row r="6" customFormat="false" ht="15" hidden="false" customHeight="false" outlineLevel="0" collapsed="false">
      <c r="A6" s="56" t="s">
        <v>495</v>
      </c>
      <c r="B6" s="63" t="str">
        <f aca="false">IF($A6="","",IFERROR(VLOOKUP($A6,員工清單!$A$4:$B$53,2,FALSE()),"⚠查無此員編"))</f>
        <v>張志豪</v>
      </c>
      <c r="C6" s="64" t="s">
        <v>533</v>
      </c>
      <c r="D6" s="64" t="s">
        <v>534</v>
      </c>
      <c r="E6" s="59" t="n">
        <v>42248</v>
      </c>
      <c r="F6" s="64"/>
      <c r="G6" s="64" t="s">
        <v>531</v>
      </c>
      <c r="H6" s="64" t="s">
        <v>531</v>
      </c>
      <c r="I6" s="65"/>
    </row>
    <row r="7" customFormat="false" ht="15" hidden="false" customHeight="false" outlineLevel="0" collapsed="false">
      <c r="A7" s="56" t="s">
        <v>495</v>
      </c>
      <c r="B7" s="63" t="str">
        <f aca="false">IF($A7="","",IFERROR(VLOOKUP($A7,員工清單!$A$4:$B$53,2,FALSE()),"⚠查無此員編"))</f>
        <v>張志豪</v>
      </c>
      <c r="C7" s="64" t="s">
        <v>535</v>
      </c>
      <c r="D7" s="64" t="s">
        <v>536</v>
      </c>
      <c r="E7" s="59" t="n">
        <v>21200</v>
      </c>
      <c r="F7" s="64"/>
      <c r="G7" s="64" t="s">
        <v>537</v>
      </c>
      <c r="H7" s="64" t="s">
        <v>531</v>
      </c>
      <c r="I7" s="65"/>
    </row>
    <row r="8" customFormat="false" ht="15" hidden="false" customHeight="false" outlineLevel="0" collapsed="false">
      <c r="A8" s="56" t="s">
        <v>505</v>
      </c>
      <c r="B8" s="63" t="str">
        <f aca="false">IF($A8="","",IFERROR(VLOOKUP($A8,員工清單!$A$4:$B$53,2,FALSE()),"⚠查無此員編"))</f>
        <v>林承翰</v>
      </c>
      <c r="C8" s="64" t="s">
        <v>538</v>
      </c>
      <c r="D8" s="64" t="s">
        <v>530</v>
      </c>
      <c r="E8" s="59" t="n">
        <v>33179</v>
      </c>
      <c r="F8" s="64"/>
      <c r="G8" s="64" t="s">
        <v>531</v>
      </c>
      <c r="H8" s="64" t="s">
        <v>531</v>
      </c>
      <c r="I8" s="65"/>
    </row>
    <row r="9" customFormat="false" ht="15" hidden="false" customHeight="false" outlineLevel="0" collapsed="false">
      <c r="A9" s="56" t="s">
        <v>505</v>
      </c>
      <c r="B9" s="63" t="str">
        <f aca="false">IF($A9="","",IFERROR(VLOOKUP($A9,員工清單!$A$4:$B$53,2,FALSE()),"⚠查無此員編"))</f>
        <v>林承翰</v>
      </c>
      <c r="C9" s="64" t="s">
        <v>539</v>
      </c>
      <c r="D9" s="64" t="s">
        <v>534</v>
      </c>
      <c r="E9" s="59" t="n">
        <v>43208</v>
      </c>
      <c r="F9" s="64"/>
      <c r="G9" s="64" t="s">
        <v>531</v>
      </c>
      <c r="H9" s="64" t="s">
        <v>531</v>
      </c>
      <c r="I9" s="65"/>
    </row>
    <row r="10" customFormat="false" ht="15" hidden="false" customHeight="false" outlineLevel="0" collapsed="false">
      <c r="A10" s="56" t="s">
        <v>505</v>
      </c>
      <c r="B10" s="63" t="str">
        <f aca="false">IF($A10="","",IFERROR(VLOOKUP($A10,員工清單!$A$4:$B$53,2,FALSE()),"⚠查無此員編"))</f>
        <v>林承翰</v>
      </c>
      <c r="C10" s="64" t="s">
        <v>540</v>
      </c>
      <c r="D10" s="64" t="s">
        <v>534</v>
      </c>
      <c r="E10" s="59" t="n">
        <v>44407</v>
      </c>
      <c r="F10" s="64"/>
      <c r="G10" s="64" t="s">
        <v>531</v>
      </c>
      <c r="H10" s="64" t="s">
        <v>531</v>
      </c>
      <c r="I10" s="65"/>
    </row>
    <row r="11" customFormat="false" ht="15" hidden="false" customHeight="false" outlineLevel="0" collapsed="false">
      <c r="A11" s="56" t="s">
        <v>513</v>
      </c>
      <c r="B11" s="63" t="str">
        <f aca="false">IF($A11="","",IFERROR(VLOOKUP($A11,員工清單!$A$4:$B$53,2,FALSE()),"⚠查無此員編"))</f>
        <v>吳建宏</v>
      </c>
      <c r="C11" s="64" t="s">
        <v>541</v>
      </c>
      <c r="D11" s="64" t="s">
        <v>530</v>
      </c>
      <c r="E11" s="59" t="n">
        <v>32306</v>
      </c>
      <c r="F11" s="64"/>
      <c r="G11" s="64" t="s">
        <v>531</v>
      </c>
      <c r="H11" s="64" t="s">
        <v>531</v>
      </c>
      <c r="I11" s="65"/>
    </row>
    <row r="12" customFormat="false" ht="15" hidden="false" customHeight="false" outlineLevel="0" collapsed="false">
      <c r="A12" s="56" t="s">
        <v>513</v>
      </c>
      <c r="B12" s="63" t="str">
        <f aca="false">IF($A12="","",IFERROR(VLOOKUP($A12,員工清單!$A$4:$B$53,2,FALSE()),"⚠查無此員編"))</f>
        <v>吳建宏</v>
      </c>
      <c r="C12" s="64" t="s">
        <v>542</v>
      </c>
      <c r="D12" s="64" t="s">
        <v>534</v>
      </c>
      <c r="E12" s="59" t="n">
        <v>42425</v>
      </c>
      <c r="F12" s="64"/>
      <c r="G12" s="64" t="s">
        <v>531</v>
      </c>
      <c r="H12" s="64" t="s">
        <v>531</v>
      </c>
      <c r="I12" s="65"/>
    </row>
    <row r="13" customFormat="false" ht="15" hidden="false" customHeight="false" outlineLevel="0" collapsed="false">
      <c r="A13" s="56" t="s">
        <v>513</v>
      </c>
      <c r="B13" s="63" t="str">
        <f aca="false">IF($A13="","",IFERROR(VLOOKUP($A13,員工清單!$A$4:$B$53,2,FALSE()),"⚠查無此員編"))</f>
        <v>吳建宏</v>
      </c>
      <c r="C13" s="64" t="s">
        <v>543</v>
      </c>
      <c r="D13" s="64" t="s">
        <v>536</v>
      </c>
      <c r="E13" s="59" t="n">
        <v>20304</v>
      </c>
      <c r="F13" s="64"/>
      <c r="G13" s="64" t="s">
        <v>531</v>
      </c>
      <c r="H13" s="64" t="s">
        <v>537</v>
      </c>
      <c r="I13" s="65"/>
    </row>
    <row r="14" customFormat="false" ht="15" hidden="false" customHeight="false" outlineLevel="0" collapsed="false">
      <c r="A14" s="56" t="s">
        <v>513</v>
      </c>
      <c r="B14" s="63" t="str">
        <f aca="false">IF($A14="","",IFERROR(VLOOKUP($A14,員工清單!$A$4:$B$53,2,FALSE()),"⚠查無此員編"))</f>
        <v>吳建宏</v>
      </c>
      <c r="C14" s="64" t="s">
        <v>544</v>
      </c>
      <c r="D14" s="64" t="s">
        <v>536</v>
      </c>
      <c r="E14" s="59" t="n">
        <v>21163</v>
      </c>
      <c r="F14" s="64"/>
      <c r="G14" s="64" t="s">
        <v>531</v>
      </c>
      <c r="H14" s="64" t="s">
        <v>537</v>
      </c>
      <c r="I14" s="65"/>
    </row>
    <row r="15" customFormat="false" ht="15" hidden="false" customHeight="false" outlineLevel="0" collapsed="false">
      <c r="A15" s="56" t="s">
        <v>518</v>
      </c>
      <c r="B15" s="63" t="str">
        <f aca="false">IF($A15="","",IFERROR(VLOOKUP($A15,員工清單!$A$4:$B$53,2,FALSE()),"⚠查無此員編"))</f>
        <v>蔡佩珊</v>
      </c>
      <c r="C15" s="64" t="s">
        <v>545</v>
      </c>
      <c r="D15" s="64" t="s">
        <v>534</v>
      </c>
      <c r="E15" s="59" t="n">
        <v>41917</v>
      </c>
      <c r="F15" s="64"/>
      <c r="G15" s="64" t="s">
        <v>531</v>
      </c>
      <c r="H15" s="64" t="s">
        <v>531</v>
      </c>
      <c r="I15" s="65"/>
    </row>
    <row r="16" customFormat="false" ht="15" hidden="false" customHeight="false" outlineLevel="0" collapsed="false">
      <c r="A16" s="56"/>
      <c r="B16" s="63" t="str">
        <f aca="false">IF($A16="","",IFERROR(VLOOKUP($A16,員工清單!$A$4:$B$53,2,FALSE()),"⚠查無此員編"))</f>
        <v/>
      </c>
      <c r="C16" s="64"/>
      <c r="D16" s="64"/>
      <c r="E16" s="59"/>
      <c r="F16" s="64"/>
      <c r="G16" s="64"/>
      <c r="H16" s="64"/>
      <c r="I16" s="65"/>
    </row>
    <row r="17" customFormat="false" ht="15" hidden="false" customHeight="false" outlineLevel="0" collapsed="false">
      <c r="A17" s="56"/>
      <c r="B17" s="63" t="str">
        <f aca="false">IF($A17="","",IFERROR(VLOOKUP($A17,員工清單!$A$4:$B$53,2,FALSE()),"⚠查無此員編"))</f>
        <v/>
      </c>
      <c r="C17" s="64"/>
      <c r="D17" s="64"/>
      <c r="E17" s="59"/>
      <c r="F17" s="64"/>
      <c r="G17" s="64"/>
      <c r="H17" s="64"/>
      <c r="I17" s="65"/>
    </row>
    <row r="18" customFormat="false" ht="15" hidden="false" customHeight="false" outlineLevel="0" collapsed="false">
      <c r="A18" s="56"/>
      <c r="B18" s="63" t="str">
        <f aca="false">IF($A18="","",IFERROR(VLOOKUP($A18,員工清單!$A$4:$B$53,2,FALSE()),"⚠查無此員編"))</f>
        <v/>
      </c>
      <c r="C18" s="64"/>
      <c r="D18" s="64"/>
      <c r="E18" s="59"/>
      <c r="F18" s="64"/>
      <c r="G18" s="64"/>
      <c r="H18" s="64"/>
      <c r="I18" s="65"/>
    </row>
    <row r="19" customFormat="false" ht="15" hidden="false" customHeight="false" outlineLevel="0" collapsed="false">
      <c r="A19" s="56"/>
      <c r="B19" s="63" t="str">
        <f aca="false">IF($A19="","",IFERROR(VLOOKUP($A19,員工清單!$A$4:$B$53,2,FALSE()),"⚠查無此員編"))</f>
        <v/>
      </c>
      <c r="C19" s="64"/>
      <c r="D19" s="64"/>
      <c r="E19" s="59"/>
      <c r="F19" s="64"/>
      <c r="G19" s="64"/>
      <c r="H19" s="64"/>
      <c r="I19" s="65"/>
    </row>
    <row r="20" customFormat="false" ht="15" hidden="false" customHeight="false" outlineLevel="0" collapsed="false">
      <c r="A20" s="56"/>
      <c r="B20" s="63" t="str">
        <f aca="false">IF($A20="","",IFERROR(VLOOKUP($A20,員工清單!$A$4:$B$53,2,FALSE()),"⚠查無此員編"))</f>
        <v/>
      </c>
      <c r="C20" s="64"/>
      <c r="D20" s="64"/>
      <c r="E20" s="59"/>
      <c r="F20" s="64"/>
      <c r="G20" s="64"/>
      <c r="H20" s="64"/>
      <c r="I20" s="65"/>
    </row>
    <row r="21" customFormat="false" ht="15" hidden="false" customHeight="false" outlineLevel="0" collapsed="false">
      <c r="A21" s="56"/>
      <c r="B21" s="63" t="str">
        <f aca="false">IF($A21="","",IFERROR(VLOOKUP($A21,員工清單!$A$4:$B$53,2,FALSE()),"⚠查無此員編"))</f>
        <v/>
      </c>
      <c r="C21" s="64"/>
      <c r="D21" s="64"/>
      <c r="E21" s="59"/>
      <c r="F21" s="64"/>
      <c r="G21" s="64"/>
      <c r="H21" s="64"/>
      <c r="I21" s="65"/>
    </row>
    <row r="22" customFormat="false" ht="15" hidden="false" customHeight="false" outlineLevel="0" collapsed="false">
      <c r="A22" s="56"/>
      <c r="B22" s="63" t="str">
        <f aca="false">IF($A22="","",IFERROR(VLOOKUP($A22,員工清單!$A$4:$B$53,2,FALSE()),"⚠查無此員編"))</f>
        <v/>
      </c>
      <c r="C22" s="64"/>
      <c r="D22" s="64"/>
      <c r="E22" s="59"/>
      <c r="F22" s="64"/>
      <c r="G22" s="64"/>
      <c r="H22" s="64"/>
      <c r="I22" s="65"/>
    </row>
    <row r="23" customFormat="false" ht="15" hidden="false" customHeight="false" outlineLevel="0" collapsed="false">
      <c r="A23" s="56"/>
      <c r="B23" s="63" t="str">
        <f aca="false">IF($A23="","",IFERROR(VLOOKUP($A23,員工清單!$A$4:$B$53,2,FALSE()),"⚠查無此員編"))</f>
        <v/>
      </c>
      <c r="C23" s="64"/>
      <c r="D23" s="64"/>
      <c r="E23" s="59"/>
      <c r="F23" s="64"/>
      <c r="G23" s="64"/>
      <c r="H23" s="64"/>
      <c r="I23" s="65"/>
    </row>
    <row r="24" customFormat="false" ht="15" hidden="false" customHeight="false" outlineLevel="0" collapsed="false">
      <c r="A24" s="56"/>
      <c r="B24" s="63" t="str">
        <f aca="false">IF($A24="","",IFERROR(VLOOKUP($A24,員工清單!$A$4:$B$53,2,FALSE()),"⚠查無此員編"))</f>
        <v/>
      </c>
      <c r="C24" s="64"/>
      <c r="D24" s="64"/>
      <c r="E24" s="59"/>
      <c r="F24" s="64"/>
      <c r="G24" s="64"/>
      <c r="H24" s="64"/>
      <c r="I24" s="65"/>
    </row>
    <row r="25" customFormat="false" ht="15" hidden="false" customHeight="false" outlineLevel="0" collapsed="false">
      <c r="A25" s="56"/>
      <c r="B25" s="63" t="str">
        <f aca="false">IF($A25="","",IFERROR(VLOOKUP($A25,員工清單!$A$4:$B$53,2,FALSE()),"⚠查無此員編"))</f>
        <v/>
      </c>
      <c r="C25" s="64"/>
      <c r="D25" s="64"/>
      <c r="E25" s="59"/>
      <c r="F25" s="64"/>
      <c r="G25" s="64"/>
      <c r="H25" s="64"/>
      <c r="I25" s="65"/>
    </row>
    <row r="26" customFormat="false" ht="15" hidden="false" customHeight="false" outlineLevel="0" collapsed="false">
      <c r="A26" s="56"/>
      <c r="B26" s="63" t="str">
        <f aca="false">IF($A26="","",IFERROR(VLOOKUP($A26,員工清單!$A$4:$B$53,2,FALSE()),"⚠查無此員編"))</f>
        <v/>
      </c>
      <c r="C26" s="64"/>
      <c r="D26" s="64"/>
      <c r="E26" s="59"/>
      <c r="F26" s="64"/>
      <c r="G26" s="64"/>
      <c r="H26" s="64"/>
      <c r="I26" s="65"/>
    </row>
    <row r="27" customFormat="false" ht="15" hidden="false" customHeight="false" outlineLevel="0" collapsed="false">
      <c r="A27" s="56"/>
      <c r="B27" s="63" t="str">
        <f aca="false">IF($A27="","",IFERROR(VLOOKUP($A27,員工清單!$A$4:$B$53,2,FALSE()),"⚠查無此員編"))</f>
        <v/>
      </c>
      <c r="C27" s="64"/>
      <c r="D27" s="64"/>
      <c r="E27" s="59"/>
      <c r="F27" s="64"/>
      <c r="G27" s="64"/>
      <c r="H27" s="64"/>
      <c r="I27" s="65"/>
    </row>
    <row r="28" customFormat="false" ht="15" hidden="false" customHeight="false" outlineLevel="0" collapsed="false">
      <c r="A28" s="56"/>
      <c r="B28" s="63" t="str">
        <f aca="false">IF($A28="","",IFERROR(VLOOKUP($A28,員工清單!$A$4:$B$53,2,FALSE()),"⚠查無此員編"))</f>
        <v/>
      </c>
      <c r="C28" s="64"/>
      <c r="D28" s="64"/>
      <c r="E28" s="59"/>
      <c r="F28" s="64"/>
      <c r="G28" s="64"/>
      <c r="H28" s="64"/>
      <c r="I28" s="65"/>
    </row>
    <row r="29" customFormat="false" ht="15" hidden="false" customHeight="false" outlineLevel="0" collapsed="false">
      <c r="A29" s="56"/>
      <c r="B29" s="63" t="str">
        <f aca="false">IF($A29="","",IFERROR(VLOOKUP($A29,員工清單!$A$4:$B$53,2,FALSE()),"⚠查無此員編"))</f>
        <v/>
      </c>
      <c r="C29" s="64"/>
      <c r="D29" s="64"/>
      <c r="E29" s="59"/>
      <c r="F29" s="64"/>
      <c r="G29" s="64"/>
      <c r="H29" s="64"/>
      <c r="I29" s="65"/>
    </row>
    <row r="30" customFormat="false" ht="15" hidden="false" customHeight="false" outlineLevel="0" collapsed="false">
      <c r="A30" s="56"/>
      <c r="B30" s="63" t="str">
        <f aca="false">IF($A30="","",IFERROR(VLOOKUP($A30,員工清單!$A$4:$B$53,2,FALSE()),"⚠查無此員編"))</f>
        <v/>
      </c>
      <c r="C30" s="64"/>
      <c r="D30" s="64"/>
      <c r="E30" s="59"/>
      <c r="F30" s="64"/>
      <c r="G30" s="64"/>
      <c r="H30" s="64"/>
      <c r="I30" s="65"/>
    </row>
    <row r="31" customFormat="false" ht="15" hidden="false" customHeight="false" outlineLevel="0" collapsed="false">
      <c r="A31" s="56"/>
      <c r="B31" s="63" t="str">
        <f aca="false">IF($A31="","",IFERROR(VLOOKUP($A31,員工清單!$A$4:$B$53,2,FALSE()),"⚠查無此員編"))</f>
        <v/>
      </c>
      <c r="C31" s="64"/>
      <c r="D31" s="64"/>
      <c r="E31" s="59"/>
      <c r="F31" s="64"/>
      <c r="G31" s="64"/>
      <c r="H31" s="64"/>
      <c r="I31" s="65"/>
    </row>
    <row r="32" customFormat="false" ht="15" hidden="false" customHeight="false" outlineLevel="0" collapsed="false">
      <c r="A32" s="56"/>
      <c r="B32" s="63" t="str">
        <f aca="false">IF($A32="","",IFERROR(VLOOKUP($A32,員工清單!$A$4:$B$53,2,FALSE()),"⚠查無此員編"))</f>
        <v/>
      </c>
      <c r="C32" s="64"/>
      <c r="D32" s="64"/>
      <c r="E32" s="59"/>
      <c r="F32" s="64"/>
      <c r="G32" s="64"/>
      <c r="H32" s="64"/>
      <c r="I32" s="65"/>
    </row>
    <row r="33" customFormat="false" ht="15" hidden="false" customHeight="false" outlineLevel="0" collapsed="false">
      <c r="A33" s="56"/>
      <c r="B33" s="63" t="str">
        <f aca="false">IF($A33="","",IFERROR(VLOOKUP($A33,員工清單!$A$4:$B$53,2,FALSE()),"⚠查無此員編"))</f>
        <v/>
      </c>
      <c r="C33" s="64"/>
      <c r="D33" s="64"/>
      <c r="E33" s="59"/>
      <c r="F33" s="64"/>
      <c r="G33" s="64"/>
      <c r="H33" s="64"/>
      <c r="I33" s="65"/>
    </row>
    <row r="34" customFormat="false" ht="15" hidden="false" customHeight="false" outlineLevel="0" collapsed="false">
      <c r="A34" s="56"/>
      <c r="B34" s="63" t="str">
        <f aca="false">IF($A34="","",IFERROR(VLOOKUP($A34,員工清單!$A$4:$B$53,2,FALSE()),"⚠查無此員編"))</f>
        <v/>
      </c>
      <c r="C34" s="64"/>
      <c r="D34" s="64"/>
      <c r="E34" s="59"/>
      <c r="F34" s="64"/>
      <c r="G34" s="64"/>
      <c r="H34" s="64"/>
      <c r="I34" s="65"/>
    </row>
    <row r="35" customFormat="false" ht="15" hidden="false" customHeight="false" outlineLevel="0" collapsed="false">
      <c r="A35" s="56"/>
      <c r="B35" s="63" t="str">
        <f aca="false">IF($A35="","",IFERROR(VLOOKUP($A35,員工清單!$A$4:$B$53,2,FALSE()),"⚠查無此員編"))</f>
        <v/>
      </c>
      <c r="C35" s="64"/>
      <c r="D35" s="64"/>
      <c r="E35" s="59"/>
      <c r="F35" s="64"/>
      <c r="G35" s="64"/>
      <c r="H35" s="64"/>
      <c r="I35" s="65"/>
    </row>
    <row r="36" customFormat="false" ht="15" hidden="false" customHeight="false" outlineLevel="0" collapsed="false">
      <c r="A36" s="56"/>
      <c r="B36" s="63" t="str">
        <f aca="false">IF($A36="","",IFERROR(VLOOKUP($A36,員工清單!$A$4:$B$53,2,FALSE()),"⚠查無此員編"))</f>
        <v/>
      </c>
      <c r="C36" s="64"/>
      <c r="D36" s="64"/>
      <c r="E36" s="59"/>
      <c r="F36" s="64"/>
      <c r="G36" s="64"/>
      <c r="H36" s="64"/>
      <c r="I36" s="65"/>
    </row>
    <row r="37" customFormat="false" ht="15" hidden="false" customHeight="false" outlineLevel="0" collapsed="false">
      <c r="A37" s="56"/>
      <c r="B37" s="63" t="str">
        <f aca="false">IF($A37="","",IFERROR(VLOOKUP($A37,員工清單!$A$4:$B$53,2,FALSE()),"⚠查無此員編"))</f>
        <v/>
      </c>
      <c r="C37" s="64"/>
      <c r="D37" s="64"/>
      <c r="E37" s="59"/>
      <c r="F37" s="64"/>
      <c r="G37" s="64"/>
      <c r="H37" s="64"/>
      <c r="I37" s="65"/>
    </row>
    <row r="38" customFormat="false" ht="15" hidden="false" customHeight="false" outlineLevel="0" collapsed="false">
      <c r="A38" s="56"/>
      <c r="B38" s="63" t="str">
        <f aca="false">IF($A38="","",IFERROR(VLOOKUP($A38,員工清單!$A$4:$B$53,2,FALSE()),"⚠查無此員編"))</f>
        <v/>
      </c>
      <c r="C38" s="64"/>
      <c r="D38" s="64"/>
      <c r="E38" s="59"/>
      <c r="F38" s="64"/>
      <c r="G38" s="64"/>
      <c r="H38" s="64"/>
      <c r="I38" s="65"/>
    </row>
    <row r="39" customFormat="false" ht="15" hidden="false" customHeight="false" outlineLevel="0" collapsed="false">
      <c r="A39" s="56"/>
      <c r="B39" s="63" t="str">
        <f aca="false">IF($A39="","",IFERROR(VLOOKUP($A39,員工清單!$A$4:$B$53,2,FALSE()),"⚠查無此員編"))</f>
        <v/>
      </c>
      <c r="C39" s="64"/>
      <c r="D39" s="64"/>
      <c r="E39" s="59"/>
      <c r="F39" s="64"/>
      <c r="G39" s="64"/>
      <c r="H39" s="64"/>
      <c r="I39" s="65"/>
    </row>
    <row r="40" customFormat="false" ht="15" hidden="false" customHeight="false" outlineLevel="0" collapsed="false">
      <c r="A40" s="56"/>
      <c r="B40" s="63" t="str">
        <f aca="false">IF($A40="","",IFERROR(VLOOKUP($A40,員工清單!$A$4:$B$53,2,FALSE()),"⚠查無此員編"))</f>
        <v/>
      </c>
      <c r="C40" s="64"/>
      <c r="D40" s="64"/>
      <c r="E40" s="59"/>
      <c r="F40" s="64"/>
      <c r="G40" s="64"/>
      <c r="H40" s="64"/>
      <c r="I40" s="65"/>
    </row>
    <row r="41" customFormat="false" ht="15" hidden="false" customHeight="false" outlineLevel="0" collapsed="false">
      <c r="A41" s="56"/>
      <c r="B41" s="63" t="str">
        <f aca="false">IF($A41="","",IFERROR(VLOOKUP($A41,員工清單!$A$4:$B$53,2,FALSE()),"⚠查無此員編"))</f>
        <v/>
      </c>
      <c r="C41" s="64"/>
      <c r="D41" s="64"/>
      <c r="E41" s="59"/>
      <c r="F41" s="64"/>
      <c r="G41" s="64"/>
      <c r="H41" s="64"/>
      <c r="I41" s="65"/>
    </row>
    <row r="42" customFormat="false" ht="15" hidden="false" customHeight="false" outlineLevel="0" collapsed="false">
      <c r="A42" s="56"/>
      <c r="B42" s="63" t="str">
        <f aca="false">IF($A42="","",IFERROR(VLOOKUP($A42,員工清單!$A$4:$B$53,2,FALSE()),"⚠查無此員編"))</f>
        <v/>
      </c>
      <c r="C42" s="64"/>
      <c r="D42" s="64"/>
      <c r="E42" s="59"/>
      <c r="F42" s="64"/>
      <c r="G42" s="64"/>
      <c r="H42" s="64"/>
      <c r="I42" s="65"/>
    </row>
    <row r="43" customFormat="false" ht="15" hidden="false" customHeight="false" outlineLevel="0" collapsed="false">
      <c r="A43" s="56"/>
      <c r="B43" s="63" t="str">
        <f aca="false">IF($A43="","",IFERROR(VLOOKUP($A43,員工清單!$A$4:$B$53,2,FALSE()),"⚠查無此員編"))</f>
        <v/>
      </c>
      <c r="C43" s="64"/>
      <c r="D43" s="64"/>
      <c r="E43" s="59"/>
      <c r="F43" s="64"/>
      <c r="G43" s="64"/>
      <c r="H43" s="64"/>
      <c r="I43" s="65"/>
    </row>
    <row r="44" customFormat="false" ht="15" hidden="false" customHeight="false" outlineLevel="0" collapsed="false">
      <c r="A44" s="56"/>
      <c r="B44" s="63" t="str">
        <f aca="false">IF($A44="","",IFERROR(VLOOKUP($A44,員工清單!$A$4:$B$53,2,FALSE()),"⚠查無此員編"))</f>
        <v/>
      </c>
      <c r="C44" s="64"/>
      <c r="D44" s="64"/>
      <c r="E44" s="59"/>
      <c r="F44" s="64"/>
      <c r="G44" s="64"/>
      <c r="H44" s="64"/>
      <c r="I44" s="65"/>
    </row>
    <row r="45" customFormat="false" ht="15" hidden="false" customHeight="false" outlineLevel="0" collapsed="false">
      <c r="A45" s="56"/>
      <c r="B45" s="63" t="str">
        <f aca="false">IF($A45="","",IFERROR(VLOOKUP($A45,員工清單!$A$4:$B$53,2,FALSE()),"⚠查無此員編"))</f>
        <v/>
      </c>
      <c r="C45" s="64"/>
      <c r="D45" s="64"/>
      <c r="E45" s="59"/>
      <c r="F45" s="64"/>
      <c r="G45" s="64"/>
      <c r="H45" s="64"/>
      <c r="I45" s="65"/>
    </row>
    <row r="46" customFormat="false" ht="15" hidden="false" customHeight="false" outlineLevel="0" collapsed="false">
      <c r="A46" s="56"/>
      <c r="B46" s="63" t="str">
        <f aca="false">IF($A46="","",IFERROR(VLOOKUP($A46,員工清單!$A$4:$B$53,2,FALSE()),"⚠查無此員編"))</f>
        <v/>
      </c>
      <c r="C46" s="64"/>
      <c r="D46" s="64"/>
      <c r="E46" s="59"/>
      <c r="F46" s="64"/>
      <c r="G46" s="64"/>
      <c r="H46" s="64"/>
      <c r="I46" s="65"/>
    </row>
    <row r="47" customFormat="false" ht="15" hidden="false" customHeight="false" outlineLevel="0" collapsed="false">
      <c r="A47" s="56"/>
      <c r="B47" s="63" t="str">
        <f aca="false">IF($A47="","",IFERROR(VLOOKUP($A47,員工清單!$A$4:$B$53,2,FALSE()),"⚠查無此員編"))</f>
        <v/>
      </c>
      <c r="C47" s="64"/>
      <c r="D47" s="64"/>
      <c r="E47" s="59"/>
      <c r="F47" s="64"/>
      <c r="G47" s="64"/>
      <c r="H47" s="64"/>
      <c r="I47" s="65"/>
    </row>
    <row r="48" customFormat="false" ht="15" hidden="false" customHeight="false" outlineLevel="0" collapsed="false">
      <c r="A48" s="56"/>
      <c r="B48" s="63" t="str">
        <f aca="false">IF($A48="","",IFERROR(VLOOKUP($A48,員工清單!$A$4:$B$53,2,FALSE()),"⚠查無此員編"))</f>
        <v/>
      </c>
      <c r="C48" s="64"/>
      <c r="D48" s="64"/>
      <c r="E48" s="59"/>
      <c r="F48" s="64"/>
      <c r="G48" s="64"/>
      <c r="H48" s="64"/>
      <c r="I48" s="65"/>
    </row>
    <row r="49" customFormat="false" ht="15" hidden="false" customHeight="false" outlineLevel="0" collapsed="false">
      <c r="A49" s="56"/>
      <c r="B49" s="63" t="str">
        <f aca="false">IF($A49="","",IFERROR(VLOOKUP($A49,員工清單!$A$4:$B$53,2,FALSE()),"⚠查無此員編"))</f>
        <v/>
      </c>
      <c r="C49" s="64"/>
      <c r="D49" s="64"/>
      <c r="E49" s="59"/>
      <c r="F49" s="64"/>
      <c r="G49" s="64"/>
      <c r="H49" s="64"/>
      <c r="I49" s="65"/>
    </row>
    <row r="50" customFormat="false" ht="15" hidden="false" customHeight="false" outlineLevel="0" collapsed="false">
      <c r="A50" s="56"/>
      <c r="B50" s="63" t="str">
        <f aca="false">IF($A50="","",IFERROR(VLOOKUP($A50,員工清單!$A$4:$B$53,2,FALSE()),"⚠查無此員編"))</f>
        <v/>
      </c>
      <c r="C50" s="64"/>
      <c r="D50" s="64"/>
      <c r="E50" s="59"/>
      <c r="F50" s="64"/>
      <c r="G50" s="64"/>
      <c r="H50" s="64"/>
      <c r="I50" s="65"/>
    </row>
    <row r="51" customFormat="false" ht="15" hidden="false" customHeight="false" outlineLevel="0" collapsed="false">
      <c r="A51" s="56"/>
      <c r="B51" s="63" t="str">
        <f aca="false">IF($A51="","",IFERROR(VLOOKUP($A51,員工清單!$A$4:$B$53,2,FALSE()),"⚠查無此員編"))</f>
        <v/>
      </c>
      <c r="C51" s="64"/>
      <c r="D51" s="64"/>
      <c r="E51" s="59"/>
      <c r="F51" s="64"/>
      <c r="G51" s="64"/>
      <c r="H51" s="64"/>
      <c r="I51" s="65"/>
    </row>
    <row r="52" customFormat="false" ht="15" hidden="false" customHeight="false" outlineLevel="0" collapsed="false">
      <c r="A52" s="56"/>
      <c r="B52" s="63" t="str">
        <f aca="false">IF($A52="","",IFERROR(VLOOKUP($A52,員工清單!$A$4:$B$53,2,FALSE()),"⚠查無此員編"))</f>
        <v/>
      </c>
      <c r="C52" s="64"/>
      <c r="D52" s="64"/>
      <c r="E52" s="59"/>
      <c r="F52" s="64"/>
      <c r="G52" s="64"/>
      <c r="H52" s="64"/>
      <c r="I52" s="65"/>
    </row>
    <row r="53" customFormat="false" ht="15" hidden="false" customHeight="false" outlineLevel="0" collapsed="false">
      <c r="A53" s="56"/>
      <c r="B53" s="63" t="str">
        <f aca="false">IF($A53="","",IFERROR(VLOOKUP($A53,員工清單!$A$4:$B$53,2,FALSE()),"⚠查無此員編"))</f>
        <v/>
      </c>
      <c r="C53" s="64"/>
      <c r="D53" s="64"/>
      <c r="E53" s="59"/>
      <c r="F53" s="64"/>
      <c r="G53" s="64"/>
      <c r="H53" s="64"/>
      <c r="I53" s="65"/>
    </row>
    <row r="54" customFormat="false" ht="15" hidden="false" customHeight="false" outlineLevel="0" collapsed="false">
      <c r="A54" s="56"/>
      <c r="B54" s="63" t="str">
        <f aca="false">IF($A54="","",IFERROR(VLOOKUP($A54,員工清單!$A$4:$B$53,2,FALSE()),"⚠查無此員編"))</f>
        <v/>
      </c>
      <c r="C54" s="64"/>
      <c r="D54" s="64"/>
      <c r="E54" s="59"/>
      <c r="F54" s="64"/>
      <c r="G54" s="64"/>
      <c r="H54" s="64"/>
      <c r="I54" s="65"/>
    </row>
    <row r="55" customFormat="false" ht="15" hidden="false" customHeight="false" outlineLevel="0" collapsed="false">
      <c r="A55" s="56"/>
      <c r="B55" s="63" t="str">
        <f aca="false">IF($A55="","",IFERROR(VLOOKUP($A55,員工清單!$A$4:$B$53,2,FALSE()),"⚠查無此員編"))</f>
        <v/>
      </c>
      <c r="C55" s="64"/>
      <c r="D55" s="64"/>
      <c r="E55" s="59"/>
      <c r="F55" s="64"/>
      <c r="G55" s="64"/>
      <c r="H55" s="64"/>
      <c r="I55" s="65"/>
    </row>
    <row r="56" customFormat="false" ht="15" hidden="false" customHeight="false" outlineLevel="0" collapsed="false">
      <c r="A56" s="56"/>
      <c r="B56" s="63" t="str">
        <f aca="false">IF($A56="","",IFERROR(VLOOKUP($A56,員工清單!$A$4:$B$53,2,FALSE()),"⚠查無此員編"))</f>
        <v/>
      </c>
      <c r="C56" s="64"/>
      <c r="D56" s="64"/>
      <c r="E56" s="59"/>
      <c r="F56" s="64"/>
      <c r="G56" s="64"/>
      <c r="H56" s="64"/>
      <c r="I56" s="65"/>
    </row>
    <row r="57" customFormat="false" ht="15" hidden="false" customHeight="false" outlineLevel="0" collapsed="false">
      <c r="A57" s="56"/>
      <c r="B57" s="63" t="str">
        <f aca="false">IF($A57="","",IFERROR(VLOOKUP($A57,員工清單!$A$4:$B$53,2,FALSE()),"⚠查無此員編"))</f>
        <v/>
      </c>
      <c r="C57" s="64"/>
      <c r="D57" s="64"/>
      <c r="E57" s="59"/>
      <c r="F57" s="64"/>
      <c r="G57" s="64"/>
      <c r="H57" s="64"/>
      <c r="I57" s="65"/>
    </row>
    <row r="58" customFormat="false" ht="15" hidden="false" customHeight="false" outlineLevel="0" collapsed="false">
      <c r="A58" s="56"/>
      <c r="B58" s="63" t="str">
        <f aca="false">IF($A58="","",IFERROR(VLOOKUP($A58,員工清單!$A$4:$B$53,2,FALSE()),"⚠查無此員編"))</f>
        <v/>
      </c>
      <c r="C58" s="64"/>
      <c r="D58" s="64"/>
      <c r="E58" s="59"/>
      <c r="F58" s="64"/>
      <c r="G58" s="64"/>
      <c r="H58" s="64"/>
      <c r="I58" s="65"/>
    </row>
    <row r="59" customFormat="false" ht="15" hidden="false" customHeight="false" outlineLevel="0" collapsed="false">
      <c r="A59" s="56"/>
      <c r="B59" s="63" t="str">
        <f aca="false">IF($A59="","",IFERROR(VLOOKUP($A59,員工清單!$A$4:$B$53,2,FALSE()),"⚠查無此員編"))</f>
        <v/>
      </c>
      <c r="C59" s="64"/>
      <c r="D59" s="64"/>
      <c r="E59" s="59"/>
      <c r="F59" s="64"/>
      <c r="G59" s="64"/>
      <c r="H59" s="64"/>
      <c r="I59" s="65"/>
    </row>
    <row r="60" customFormat="false" ht="15" hidden="false" customHeight="false" outlineLevel="0" collapsed="false">
      <c r="A60" s="56"/>
      <c r="B60" s="63" t="str">
        <f aca="false">IF($A60="","",IFERROR(VLOOKUP($A60,員工清單!$A$4:$B$53,2,FALSE()),"⚠查無此員編"))</f>
        <v/>
      </c>
      <c r="C60" s="64"/>
      <c r="D60" s="64"/>
      <c r="E60" s="59"/>
      <c r="F60" s="64"/>
      <c r="G60" s="64"/>
      <c r="H60" s="64"/>
      <c r="I60" s="65"/>
    </row>
    <row r="61" customFormat="false" ht="15" hidden="false" customHeight="false" outlineLevel="0" collapsed="false">
      <c r="A61" s="56"/>
      <c r="B61" s="63" t="str">
        <f aca="false">IF($A61="","",IFERROR(VLOOKUP($A61,員工清單!$A$4:$B$53,2,FALSE()),"⚠查無此員編"))</f>
        <v/>
      </c>
      <c r="C61" s="64"/>
      <c r="D61" s="64"/>
      <c r="E61" s="59"/>
      <c r="F61" s="64"/>
      <c r="G61" s="64"/>
      <c r="H61" s="64"/>
      <c r="I61" s="65"/>
    </row>
    <row r="62" customFormat="false" ht="15" hidden="false" customHeight="false" outlineLevel="0" collapsed="false">
      <c r="A62" s="56"/>
      <c r="B62" s="63" t="str">
        <f aca="false">IF($A62="","",IFERROR(VLOOKUP($A62,員工清單!$A$4:$B$53,2,FALSE()),"⚠查無此員編"))</f>
        <v/>
      </c>
      <c r="C62" s="64"/>
      <c r="D62" s="64"/>
      <c r="E62" s="59"/>
      <c r="F62" s="64"/>
      <c r="G62" s="64"/>
      <c r="H62" s="64"/>
      <c r="I62" s="65"/>
    </row>
    <row r="63" customFormat="false" ht="15" hidden="false" customHeight="false" outlineLevel="0" collapsed="false">
      <c r="A63" s="56"/>
      <c r="B63" s="63" t="str">
        <f aca="false">IF($A63="","",IFERROR(VLOOKUP($A63,員工清單!$A$4:$B$53,2,FALSE()),"⚠查無此員編"))</f>
        <v/>
      </c>
      <c r="C63" s="64"/>
      <c r="D63" s="64"/>
      <c r="E63" s="59"/>
      <c r="F63" s="64"/>
      <c r="G63" s="64"/>
      <c r="H63" s="64"/>
      <c r="I63" s="65"/>
    </row>
    <row r="64" customFormat="false" ht="15" hidden="false" customHeight="false" outlineLevel="0" collapsed="false">
      <c r="A64" s="56"/>
      <c r="B64" s="63" t="str">
        <f aca="false">IF($A64="","",IFERROR(VLOOKUP($A64,員工清單!$A$4:$B$53,2,FALSE()),"⚠查無此員編"))</f>
        <v/>
      </c>
      <c r="C64" s="64"/>
      <c r="D64" s="64"/>
      <c r="E64" s="59"/>
      <c r="F64" s="64"/>
      <c r="G64" s="64"/>
      <c r="H64" s="64"/>
      <c r="I64" s="65"/>
    </row>
    <row r="65" customFormat="false" ht="15" hidden="false" customHeight="false" outlineLevel="0" collapsed="false">
      <c r="A65" s="56"/>
      <c r="B65" s="63" t="str">
        <f aca="false">IF($A65="","",IFERROR(VLOOKUP($A65,員工清單!$A$4:$B$53,2,FALSE()),"⚠查無此員編"))</f>
        <v/>
      </c>
      <c r="C65" s="64"/>
      <c r="D65" s="64"/>
      <c r="E65" s="59"/>
      <c r="F65" s="64"/>
      <c r="G65" s="64"/>
      <c r="H65" s="64"/>
      <c r="I65" s="65"/>
    </row>
    <row r="66" customFormat="false" ht="15" hidden="false" customHeight="false" outlineLevel="0" collapsed="false">
      <c r="A66" s="56"/>
      <c r="B66" s="63" t="str">
        <f aca="false">IF($A66="","",IFERROR(VLOOKUP($A66,員工清單!$A$4:$B$53,2,FALSE()),"⚠查無此員編"))</f>
        <v/>
      </c>
      <c r="C66" s="64"/>
      <c r="D66" s="64"/>
      <c r="E66" s="59"/>
      <c r="F66" s="64"/>
      <c r="G66" s="64"/>
      <c r="H66" s="64"/>
      <c r="I66" s="65"/>
    </row>
    <row r="67" customFormat="false" ht="15" hidden="false" customHeight="false" outlineLevel="0" collapsed="false">
      <c r="A67" s="56"/>
      <c r="B67" s="63" t="str">
        <f aca="false">IF($A67="","",IFERROR(VLOOKUP($A67,員工清單!$A$4:$B$53,2,FALSE()),"⚠查無此員編"))</f>
        <v/>
      </c>
      <c r="C67" s="64"/>
      <c r="D67" s="64"/>
      <c r="E67" s="59"/>
      <c r="F67" s="64"/>
      <c r="G67" s="64"/>
      <c r="H67" s="64"/>
      <c r="I67" s="65"/>
    </row>
    <row r="68" customFormat="false" ht="15" hidden="false" customHeight="false" outlineLevel="0" collapsed="false">
      <c r="A68" s="56"/>
      <c r="B68" s="63" t="str">
        <f aca="false">IF($A68="","",IFERROR(VLOOKUP($A68,員工清單!$A$4:$B$53,2,FALSE()),"⚠查無此員編"))</f>
        <v/>
      </c>
      <c r="C68" s="64"/>
      <c r="D68" s="64"/>
      <c r="E68" s="59"/>
      <c r="F68" s="64"/>
      <c r="G68" s="64"/>
      <c r="H68" s="64"/>
      <c r="I68" s="65"/>
    </row>
    <row r="69" customFormat="false" ht="15" hidden="false" customHeight="false" outlineLevel="0" collapsed="false">
      <c r="A69" s="56"/>
      <c r="B69" s="63" t="str">
        <f aca="false">IF($A69="","",IFERROR(VLOOKUP($A69,員工清單!$A$4:$B$53,2,FALSE()),"⚠查無此員編"))</f>
        <v/>
      </c>
      <c r="C69" s="64"/>
      <c r="D69" s="64"/>
      <c r="E69" s="59"/>
      <c r="F69" s="64"/>
      <c r="G69" s="64"/>
      <c r="H69" s="64"/>
      <c r="I69" s="65"/>
    </row>
    <row r="70" customFormat="false" ht="15" hidden="false" customHeight="false" outlineLevel="0" collapsed="false">
      <c r="A70" s="56"/>
      <c r="B70" s="63" t="str">
        <f aca="false">IF($A70="","",IFERROR(VLOOKUP($A70,員工清單!$A$4:$B$53,2,FALSE()),"⚠查無此員編"))</f>
        <v/>
      </c>
      <c r="C70" s="64"/>
      <c r="D70" s="64"/>
      <c r="E70" s="59"/>
      <c r="F70" s="64"/>
      <c r="G70" s="64"/>
      <c r="H70" s="64"/>
      <c r="I70" s="65"/>
    </row>
    <row r="71" customFormat="false" ht="15" hidden="false" customHeight="false" outlineLevel="0" collapsed="false">
      <c r="A71" s="56"/>
      <c r="B71" s="63" t="str">
        <f aca="false">IF($A71="","",IFERROR(VLOOKUP($A71,員工清單!$A$4:$B$53,2,FALSE()),"⚠查無此員編"))</f>
        <v/>
      </c>
      <c r="C71" s="64"/>
      <c r="D71" s="64"/>
      <c r="E71" s="59"/>
      <c r="F71" s="64"/>
      <c r="G71" s="64"/>
      <c r="H71" s="64"/>
      <c r="I71" s="65"/>
    </row>
    <row r="72" customFormat="false" ht="15" hidden="false" customHeight="false" outlineLevel="0" collapsed="false">
      <c r="A72" s="56"/>
      <c r="B72" s="63" t="str">
        <f aca="false">IF($A72="","",IFERROR(VLOOKUP($A72,員工清單!$A$4:$B$53,2,FALSE()),"⚠查無此員編"))</f>
        <v/>
      </c>
      <c r="C72" s="64"/>
      <c r="D72" s="64"/>
      <c r="E72" s="59"/>
      <c r="F72" s="64"/>
      <c r="G72" s="64"/>
      <c r="H72" s="64"/>
      <c r="I72" s="65"/>
    </row>
    <row r="73" customFormat="false" ht="15" hidden="false" customHeight="false" outlineLevel="0" collapsed="false">
      <c r="A73" s="56"/>
      <c r="B73" s="63" t="str">
        <f aca="false">IF($A73="","",IFERROR(VLOOKUP($A73,員工清單!$A$4:$B$53,2,FALSE()),"⚠查無此員編"))</f>
        <v/>
      </c>
      <c r="C73" s="64"/>
      <c r="D73" s="64"/>
      <c r="E73" s="59"/>
      <c r="F73" s="64"/>
      <c r="G73" s="64"/>
      <c r="H73" s="64"/>
      <c r="I73" s="65"/>
    </row>
    <row r="74" customFormat="false" ht="15" hidden="false" customHeight="false" outlineLevel="0" collapsed="false">
      <c r="A74" s="56"/>
      <c r="B74" s="63" t="str">
        <f aca="false">IF($A74="","",IFERROR(VLOOKUP($A74,員工清單!$A$4:$B$53,2,FALSE()),"⚠查無此員編"))</f>
        <v/>
      </c>
      <c r="C74" s="64"/>
      <c r="D74" s="64"/>
      <c r="E74" s="59"/>
      <c r="F74" s="64"/>
      <c r="G74" s="64"/>
      <c r="H74" s="64"/>
      <c r="I74" s="65"/>
    </row>
    <row r="75" customFormat="false" ht="15" hidden="false" customHeight="false" outlineLevel="0" collapsed="false">
      <c r="A75" s="56"/>
      <c r="B75" s="63" t="str">
        <f aca="false">IF($A75="","",IFERROR(VLOOKUP($A75,員工清單!$A$4:$B$53,2,FALSE()),"⚠查無此員編"))</f>
        <v/>
      </c>
      <c r="C75" s="64"/>
      <c r="D75" s="64"/>
      <c r="E75" s="59"/>
      <c r="F75" s="64"/>
      <c r="G75" s="64"/>
      <c r="H75" s="64"/>
      <c r="I75" s="65"/>
    </row>
    <row r="76" customFormat="false" ht="15" hidden="false" customHeight="false" outlineLevel="0" collapsed="false">
      <c r="A76" s="56"/>
      <c r="B76" s="63" t="str">
        <f aca="false">IF($A76="","",IFERROR(VLOOKUP($A76,員工清單!$A$4:$B$53,2,FALSE()),"⚠查無此員編"))</f>
        <v/>
      </c>
      <c r="C76" s="64"/>
      <c r="D76" s="64"/>
      <c r="E76" s="59"/>
      <c r="F76" s="64"/>
      <c r="G76" s="64"/>
      <c r="H76" s="64"/>
      <c r="I76" s="65"/>
    </row>
    <row r="77" customFormat="false" ht="15" hidden="false" customHeight="false" outlineLevel="0" collapsed="false">
      <c r="A77" s="56"/>
      <c r="B77" s="63" t="str">
        <f aca="false">IF($A77="","",IFERROR(VLOOKUP($A77,員工清單!$A$4:$B$53,2,FALSE()),"⚠查無此員編"))</f>
        <v/>
      </c>
      <c r="C77" s="64"/>
      <c r="D77" s="64"/>
      <c r="E77" s="59"/>
      <c r="F77" s="64"/>
      <c r="G77" s="64"/>
      <c r="H77" s="64"/>
      <c r="I77" s="65"/>
    </row>
    <row r="78" customFormat="false" ht="15" hidden="false" customHeight="false" outlineLevel="0" collapsed="false">
      <c r="A78" s="56"/>
      <c r="B78" s="63" t="str">
        <f aca="false">IF($A78="","",IFERROR(VLOOKUP($A78,員工清單!$A$4:$B$53,2,FALSE()),"⚠查無此員編"))</f>
        <v/>
      </c>
      <c r="C78" s="64"/>
      <c r="D78" s="64"/>
      <c r="E78" s="59"/>
      <c r="F78" s="64"/>
      <c r="G78" s="64"/>
      <c r="H78" s="64"/>
      <c r="I78" s="65"/>
    </row>
    <row r="79" customFormat="false" ht="15" hidden="false" customHeight="false" outlineLevel="0" collapsed="false">
      <c r="A79" s="56"/>
      <c r="B79" s="63" t="str">
        <f aca="false">IF($A79="","",IFERROR(VLOOKUP($A79,員工清單!$A$4:$B$53,2,FALSE()),"⚠查無此員編"))</f>
        <v/>
      </c>
      <c r="C79" s="64"/>
      <c r="D79" s="64"/>
      <c r="E79" s="59"/>
      <c r="F79" s="64"/>
      <c r="G79" s="64"/>
      <c r="H79" s="64"/>
      <c r="I79" s="65"/>
    </row>
    <row r="80" customFormat="false" ht="15" hidden="false" customHeight="false" outlineLevel="0" collapsed="false">
      <c r="A80" s="56"/>
      <c r="B80" s="63" t="str">
        <f aca="false">IF($A80="","",IFERROR(VLOOKUP($A80,員工清單!$A$4:$B$53,2,FALSE()),"⚠查無此員編"))</f>
        <v/>
      </c>
      <c r="C80" s="64"/>
      <c r="D80" s="64"/>
      <c r="E80" s="59"/>
      <c r="F80" s="64"/>
      <c r="G80" s="64"/>
      <c r="H80" s="64"/>
      <c r="I80" s="65"/>
    </row>
    <row r="81" customFormat="false" ht="15" hidden="false" customHeight="false" outlineLevel="0" collapsed="false">
      <c r="A81" s="56"/>
      <c r="B81" s="63" t="str">
        <f aca="false">IF($A81="","",IFERROR(VLOOKUP($A81,員工清單!$A$4:$B$53,2,FALSE()),"⚠查無此員編"))</f>
        <v/>
      </c>
      <c r="C81" s="64"/>
      <c r="D81" s="64"/>
      <c r="E81" s="59"/>
      <c r="F81" s="64"/>
      <c r="G81" s="64"/>
      <c r="H81" s="64"/>
      <c r="I81" s="65"/>
    </row>
    <row r="82" customFormat="false" ht="15" hidden="false" customHeight="false" outlineLevel="0" collapsed="false">
      <c r="A82" s="56"/>
      <c r="B82" s="63" t="str">
        <f aca="false">IF($A82="","",IFERROR(VLOOKUP($A82,員工清單!$A$4:$B$53,2,FALSE()),"⚠查無此員編"))</f>
        <v/>
      </c>
      <c r="C82" s="64"/>
      <c r="D82" s="64"/>
      <c r="E82" s="59"/>
      <c r="F82" s="64"/>
      <c r="G82" s="64"/>
      <c r="H82" s="64"/>
      <c r="I82" s="65"/>
    </row>
    <row r="83" customFormat="false" ht="15" hidden="false" customHeight="false" outlineLevel="0" collapsed="false">
      <c r="A83" s="56"/>
      <c r="B83" s="63" t="str">
        <f aca="false">IF($A83="","",IFERROR(VLOOKUP($A83,員工清單!$A$4:$B$53,2,FALSE()),"⚠查無此員編"))</f>
        <v/>
      </c>
      <c r="C83" s="64"/>
      <c r="D83" s="64"/>
      <c r="E83" s="59"/>
      <c r="F83" s="64"/>
      <c r="G83" s="64"/>
      <c r="H83" s="64"/>
      <c r="I83" s="65"/>
    </row>
    <row r="84" customFormat="false" ht="15" hidden="false" customHeight="false" outlineLevel="0" collapsed="false">
      <c r="A84" s="56"/>
      <c r="B84" s="63" t="str">
        <f aca="false">IF($A84="","",IFERROR(VLOOKUP($A84,員工清單!$A$4:$B$53,2,FALSE()),"⚠查無此員編"))</f>
        <v/>
      </c>
      <c r="C84" s="64"/>
      <c r="D84" s="64"/>
      <c r="E84" s="59"/>
      <c r="F84" s="64"/>
      <c r="G84" s="64"/>
      <c r="H84" s="64"/>
      <c r="I84" s="65"/>
    </row>
    <row r="85" customFormat="false" ht="15" hidden="false" customHeight="false" outlineLevel="0" collapsed="false">
      <c r="A85" s="56"/>
      <c r="B85" s="63" t="str">
        <f aca="false">IF($A85="","",IFERROR(VLOOKUP($A85,員工清單!$A$4:$B$53,2,FALSE()),"⚠查無此員編"))</f>
        <v/>
      </c>
      <c r="C85" s="64"/>
      <c r="D85" s="64"/>
      <c r="E85" s="59"/>
      <c r="F85" s="64"/>
      <c r="G85" s="64"/>
      <c r="H85" s="64"/>
      <c r="I85" s="65"/>
    </row>
    <row r="86" customFormat="false" ht="15" hidden="false" customHeight="false" outlineLevel="0" collapsed="false">
      <c r="A86" s="56"/>
      <c r="B86" s="63" t="str">
        <f aca="false">IF($A86="","",IFERROR(VLOOKUP($A86,員工清單!$A$4:$B$53,2,FALSE()),"⚠查無此員編"))</f>
        <v/>
      </c>
      <c r="C86" s="64"/>
      <c r="D86" s="64"/>
      <c r="E86" s="59"/>
      <c r="F86" s="64"/>
      <c r="G86" s="64"/>
      <c r="H86" s="64"/>
      <c r="I86" s="65"/>
    </row>
    <row r="87" customFormat="false" ht="15" hidden="false" customHeight="false" outlineLevel="0" collapsed="false">
      <c r="A87" s="56"/>
      <c r="B87" s="63" t="str">
        <f aca="false">IF($A87="","",IFERROR(VLOOKUP($A87,員工清單!$A$4:$B$53,2,FALSE()),"⚠查無此員編"))</f>
        <v/>
      </c>
      <c r="C87" s="64"/>
      <c r="D87" s="64"/>
      <c r="E87" s="59"/>
      <c r="F87" s="64"/>
      <c r="G87" s="64"/>
      <c r="H87" s="64"/>
      <c r="I87" s="65"/>
    </row>
    <row r="88" customFormat="false" ht="15" hidden="false" customHeight="false" outlineLevel="0" collapsed="false">
      <c r="A88" s="56"/>
      <c r="B88" s="63" t="str">
        <f aca="false">IF($A88="","",IFERROR(VLOOKUP($A88,員工清單!$A$4:$B$53,2,FALSE()),"⚠查無此員編"))</f>
        <v/>
      </c>
      <c r="C88" s="64"/>
      <c r="D88" s="64"/>
      <c r="E88" s="59"/>
      <c r="F88" s="64"/>
      <c r="G88" s="64"/>
      <c r="H88" s="64"/>
      <c r="I88" s="65"/>
    </row>
    <row r="89" customFormat="false" ht="15" hidden="false" customHeight="false" outlineLevel="0" collapsed="false">
      <c r="A89" s="56"/>
      <c r="B89" s="63" t="str">
        <f aca="false">IF($A89="","",IFERROR(VLOOKUP($A89,員工清單!$A$4:$B$53,2,FALSE()),"⚠查無此員編"))</f>
        <v/>
      </c>
      <c r="C89" s="64"/>
      <c r="D89" s="64"/>
      <c r="E89" s="59"/>
      <c r="F89" s="64"/>
      <c r="G89" s="64"/>
      <c r="H89" s="64"/>
      <c r="I89" s="65"/>
    </row>
    <row r="90" customFormat="false" ht="15" hidden="false" customHeight="false" outlineLevel="0" collapsed="false">
      <c r="A90" s="56"/>
      <c r="B90" s="63" t="str">
        <f aca="false">IF($A90="","",IFERROR(VLOOKUP($A90,員工清單!$A$4:$B$53,2,FALSE()),"⚠查無此員編"))</f>
        <v/>
      </c>
      <c r="C90" s="64"/>
      <c r="D90" s="64"/>
      <c r="E90" s="59"/>
      <c r="F90" s="64"/>
      <c r="G90" s="64"/>
      <c r="H90" s="64"/>
      <c r="I90" s="65"/>
    </row>
    <row r="91" customFormat="false" ht="15" hidden="false" customHeight="false" outlineLevel="0" collapsed="false">
      <c r="A91" s="56"/>
      <c r="B91" s="63" t="str">
        <f aca="false">IF($A91="","",IFERROR(VLOOKUP($A91,員工清單!$A$4:$B$53,2,FALSE()),"⚠查無此員編"))</f>
        <v/>
      </c>
      <c r="C91" s="64"/>
      <c r="D91" s="64"/>
      <c r="E91" s="59"/>
      <c r="F91" s="64"/>
      <c r="G91" s="64"/>
      <c r="H91" s="64"/>
      <c r="I91" s="65"/>
    </row>
    <row r="92" customFormat="false" ht="15" hidden="false" customHeight="false" outlineLevel="0" collapsed="false">
      <c r="A92" s="56"/>
      <c r="B92" s="63" t="str">
        <f aca="false">IF($A92="","",IFERROR(VLOOKUP($A92,員工清單!$A$4:$B$53,2,FALSE()),"⚠查無此員編"))</f>
        <v/>
      </c>
      <c r="C92" s="64"/>
      <c r="D92" s="64"/>
      <c r="E92" s="59"/>
      <c r="F92" s="64"/>
      <c r="G92" s="64"/>
      <c r="H92" s="64"/>
      <c r="I92" s="65"/>
    </row>
    <row r="93" customFormat="false" ht="15" hidden="false" customHeight="false" outlineLevel="0" collapsed="false">
      <c r="A93" s="56"/>
      <c r="B93" s="63" t="str">
        <f aca="false">IF($A93="","",IFERROR(VLOOKUP($A93,員工清單!$A$4:$B$53,2,FALSE()),"⚠查無此員編"))</f>
        <v/>
      </c>
      <c r="C93" s="64"/>
      <c r="D93" s="64"/>
      <c r="E93" s="59"/>
      <c r="F93" s="64"/>
      <c r="G93" s="64"/>
      <c r="H93" s="64"/>
      <c r="I93" s="65"/>
    </row>
    <row r="94" customFormat="false" ht="15" hidden="false" customHeight="false" outlineLevel="0" collapsed="false">
      <c r="A94" s="56"/>
      <c r="B94" s="63" t="str">
        <f aca="false">IF($A94="","",IFERROR(VLOOKUP($A94,員工清單!$A$4:$B$53,2,FALSE()),"⚠查無此員編"))</f>
        <v/>
      </c>
      <c r="C94" s="64"/>
      <c r="D94" s="64"/>
      <c r="E94" s="59"/>
      <c r="F94" s="64"/>
      <c r="G94" s="64"/>
      <c r="H94" s="64"/>
      <c r="I94" s="65"/>
    </row>
    <row r="95" customFormat="false" ht="15" hidden="false" customHeight="false" outlineLevel="0" collapsed="false">
      <c r="A95" s="56"/>
      <c r="B95" s="63" t="str">
        <f aca="false">IF($A95="","",IFERROR(VLOOKUP($A95,員工清單!$A$4:$B$53,2,FALSE()),"⚠查無此員編"))</f>
        <v/>
      </c>
      <c r="C95" s="64"/>
      <c r="D95" s="64"/>
      <c r="E95" s="59"/>
      <c r="F95" s="64"/>
      <c r="G95" s="64"/>
      <c r="H95" s="64"/>
      <c r="I95" s="65"/>
    </row>
    <row r="96" customFormat="false" ht="15" hidden="false" customHeight="false" outlineLevel="0" collapsed="false">
      <c r="A96" s="56"/>
      <c r="B96" s="63" t="str">
        <f aca="false">IF($A96="","",IFERROR(VLOOKUP($A96,員工清單!$A$4:$B$53,2,FALSE()),"⚠查無此員編"))</f>
        <v/>
      </c>
      <c r="C96" s="64"/>
      <c r="D96" s="64"/>
      <c r="E96" s="59"/>
      <c r="F96" s="64"/>
      <c r="G96" s="64"/>
      <c r="H96" s="64"/>
      <c r="I96" s="65"/>
    </row>
    <row r="97" customFormat="false" ht="15" hidden="false" customHeight="false" outlineLevel="0" collapsed="false">
      <c r="A97" s="56"/>
      <c r="B97" s="63" t="str">
        <f aca="false">IF($A97="","",IFERROR(VLOOKUP($A97,員工清單!$A$4:$B$53,2,FALSE()),"⚠查無此員編"))</f>
        <v/>
      </c>
      <c r="C97" s="64"/>
      <c r="D97" s="64"/>
      <c r="E97" s="59"/>
      <c r="F97" s="64"/>
      <c r="G97" s="64"/>
      <c r="H97" s="64"/>
      <c r="I97" s="65"/>
    </row>
    <row r="98" customFormat="false" ht="15" hidden="false" customHeight="false" outlineLevel="0" collapsed="false">
      <c r="A98" s="56"/>
      <c r="B98" s="63" t="str">
        <f aca="false">IF($A98="","",IFERROR(VLOOKUP($A98,員工清單!$A$4:$B$53,2,FALSE()),"⚠查無此員編"))</f>
        <v/>
      </c>
      <c r="C98" s="64"/>
      <c r="D98" s="64"/>
      <c r="E98" s="59"/>
      <c r="F98" s="64"/>
      <c r="G98" s="64"/>
      <c r="H98" s="64"/>
      <c r="I98" s="65"/>
    </row>
    <row r="99" customFormat="false" ht="15" hidden="false" customHeight="false" outlineLevel="0" collapsed="false">
      <c r="A99" s="56"/>
      <c r="B99" s="63" t="str">
        <f aca="false">IF($A99="","",IFERROR(VLOOKUP($A99,員工清單!$A$4:$B$53,2,FALSE()),"⚠查無此員編"))</f>
        <v/>
      </c>
      <c r="C99" s="64"/>
      <c r="D99" s="64"/>
      <c r="E99" s="59"/>
      <c r="F99" s="64"/>
      <c r="G99" s="64"/>
      <c r="H99" s="64"/>
      <c r="I99" s="65"/>
    </row>
    <row r="100" customFormat="false" ht="15" hidden="false" customHeight="false" outlineLevel="0" collapsed="false">
      <c r="A100" s="56"/>
      <c r="B100" s="63" t="str">
        <f aca="false">IF($A100="","",IFERROR(VLOOKUP($A100,員工清單!$A$4:$B$53,2,FALSE()),"⚠查無此員編"))</f>
        <v/>
      </c>
      <c r="C100" s="64"/>
      <c r="D100" s="64"/>
      <c r="E100" s="59"/>
      <c r="F100" s="64"/>
      <c r="G100" s="64"/>
      <c r="H100" s="64"/>
      <c r="I100" s="65"/>
    </row>
    <row r="101" customFormat="false" ht="15" hidden="false" customHeight="false" outlineLevel="0" collapsed="false">
      <c r="A101" s="56"/>
      <c r="B101" s="63" t="str">
        <f aca="false">IF($A101="","",IFERROR(VLOOKUP($A101,員工清單!$A$4:$B$53,2,FALSE()),"⚠查無此員編"))</f>
        <v/>
      </c>
      <c r="C101" s="64"/>
      <c r="D101" s="64"/>
      <c r="E101" s="59"/>
      <c r="F101" s="64"/>
      <c r="G101" s="64"/>
      <c r="H101" s="64"/>
      <c r="I101" s="65"/>
    </row>
    <row r="102" customFormat="false" ht="15" hidden="false" customHeight="false" outlineLevel="0" collapsed="false">
      <c r="A102" s="56"/>
      <c r="B102" s="63" t="str">
        <f aca="false">IF($A102="","",IFERROR(VLOOKUP($A102,員工清單!$A$4:$B$53,2,FALSE()),"⚠查無此員編"))</f>
        <v/>
      </c>
      <c r="C102" s="64"/>
      <c r="D102" s="64"/>
      <c r="E102" s="59"/>
      <c r="F102" s="64"/>
      <c r="G102" s="64"/>
      <c r="H102" s="64"/>
      <c r="I102" s="65"/>
    </row>
    <row r="103" customFormat="false" ht="15" hidden="false" customHeight="false" outlineLevel="0" collapsed="false">
      <c r="A103" s="56"/>
      <c r="B103" s="63" t="str">
        <f aca="false">IF($A103="","",IFERROR(VLOOKUP($A103,員工清單!$A$4:$B$53,2,FALSE()),"⚠查無此員編"))</f>
        <v/>
      </c>
      <c r="C103" s="64"/>
      <c r="D103" s="64"/>
      <c r="E103" s="59"/>
      <c r="F103" s="64"/>
      <c r="G103" s="64"/>
      <c r="H103" s="64"/>
      <c r="I103" s="65"/>
    </row>
    <row r="104" customFormat="false" ht="15" hidden="false" customHeight="false" outlineLevel="0" collapsed="false">
      <c r="A104" s="56"/>
      <c r="B104" s="63" t="str">
        <f aca="false">IF($A104="","",IFERROR(VLOOKUP($A104,員工清單!$A$4:$B$53,2,FALSE()),"⚠查無此員編"))</f>
        <v/>
      </c>
      <c r="C104" s="64"/>
      <c r="D104" s="64"/>
      <c r="E104" s="59"/>
      <c r="F104" s="64"/>
      <c r="G104" s="64"/>
      <c r="H104" s="64"/>
      <c r="I104" s="65"/>
    </row>
    <row r="105" customFormat="false" ht="15" hidden="false" customHeight="false" outlineLevel="0" collapsed="false">
      <c r="A105" s="56"/>
      <c r="B105" s="63" t="str">
        <f aca="false">IF($A105="","",IFERROR(VLOOKUP($A105,員工清單!$A$4:$B$53,2,FALSE()),"⚠查無此員編"))</f>
        <v/>
      </c>
      <c r="C105" s="64"/>
      <c r="D105" s="64"/>
      <c r="E105" s="59"/>
      <c r="F105" s="64"/>
      <c r="G105" s="64"/>
      <c r="H105" s="64"/>
      <c r="I105" s="65"/>
    </row>
    <row r="106" customFormat="false" ht="15" hidden="false" customHeight="false" outlineLevel="0" collapsed="false">
      <c r="A106" s="56"/>
      <c r="B106" s="63" t="str">
        <f aca="false">IF($A106="","",IFERROR(VLOOKUP($A106,員工清單!$A$4:$B$53,2,FALSE()),"⚠查無此員編"))</f>
        <v/>
      </c>
      <c r="C106" s="64"/>
      <c r="D106" s="64"/>
      <c r="E106" s="59"/>
      <c r="F106" s="64"/>
      <c r="G106" s="64"/>
      <c r="H106" s="64"/>
      <c r="I106" s="65"/>
    </row>
    <row r="107" customFormat="false" ht="15" hidden="false" customHeight="false" outlineLevel="0" collapsed="false">
      <c r="A107" s="56"/>
      <c r="B107" s="63" t="str">
        <f aca="false">IF($A107="","",IFERROR(VLOOKUP($A107,員工清單!$A$4:$B$53,2,FALSE()),"⚠查無此員編"))</f>
        <v/>
      </c>
      <c r="C107" s="64"/>
      <c r="D107" s="64"/>
      <c r="E107" s="59"/>
      <c r="F107" s="64"/>
      <c r="G107" s="64"/>
      <c r="H107" s="64"/>
      <c r="I107" s="65"/>
    </row>
    <row r="108" customFormat="false" ht="15" hidden="false" customHeight="false" outlineLevel="0" collapsed="false">
      <c r="A108" s="56"/>
      <c r="B108" s="63" t="str">
        <f aca="false">IF($A108="","",IFERROR(VLOOKUP($A108,員工清單!$A$4:$B$53,2,FALSE()),"⚠查無此員編"))</f>
        <v/>
      </c>
      <c r="C108" s="64"/>
      <c r="D108" s="64"/>
      <c r="E108" s="59"/>
      <c r="F108" s="64"/>
      <c r="G108" s="64"/>
      <c r="H108" s="64"/>
      <c r="I108" s="65"/>
    </row>
    <row r="109" customFormat="false" ht="15" hidden="false" customHeight="false" outlineLevel="0" collapsed="false">
      <c r="A109" s="56"/>
      <c r="B109" s="63" t="str">
        <f aca="false">IF($A109="","",IFERROR(VLOOKUP($A109,員工清單!$A$4:$B$53,2,FALSE()),"⚠查無此員編"))</f>
        <v/>
      </c>
      <c r="C109" s="64"/>
      <c r="D109" s="64"/>
      <c r="E109" s="59"/>
      <c r="F109" s="64"/>
      <c r="G109" s="64"/>
      <c r="H109" s="64"/>
      <c r="I109" s="65"/>
    </row>
    <row r="110" customFormat="false" ht="15" hidden="false" customHeight="false" outlineLevel="0" collapsed="false">
      <c r="A110" s="56"/>
      <c r="B110" s="63" t="str">
        <f aca="false">IF($A110="","",IFERROR(VLOOKUP($A110,員工清單!$A$4:$B$53,2,FALSE()),"⚠查無此員編"))</f>
        <v/>
      </c>
      <c r="C110" s="64"/>
      <c r="D110" s="64"/>
      <c r="E110" s="59"/>
      <c r="F110" s="64"/>
      <c r="G110" s="64"/>
      <c r="H110" s="64"/>
      <c r="I110" s="65"/>
    </row>
    <row r="111" customFormat="false" ht="15" hidden="false" customHeight="false" outlineLevel="0" collapsed="false">
      <c r="A111" s="56"/>
      <c r="B111" s="63" t="str">
        <f aca="false">IF($A111="","",IFERROR(VLOOKUP($A111,員工清單!$A$4:$B$53,2,FALSE()),"⚠查無此員編"))</f>
        <v/>
      </c>
      <c r="C111" s="64"/>
      <c r="D111" s="64"/>
      <c r="E111" s="59"/>
      <c r="F111" s="64"/>
      <c r="G111" s="64"/>
      <c r="H111" s="64"/>
      <c r="I111" s="65"/>
    </row>
    <row r="112" customFormat="false" ht="15" hidden="false" customHeight="false" outlineLevel="0" collapsed="false">
      <c r="A112" s="56"/>
      <c r="B112" s="63" t="str">
        <f aca="false">IF($A112="","",IFERROR(VLOOKUP($A112,員工清單!$A$4:$B$53,2,FALSE()),"⚠查無此員編"))</f>
        <v/>
      </c>
      <c r="C112" s="64"/>
      <c r="D112" s="64"/>
      <c r="E112" s="59"/>
      <c r="F112" s="64"/>
      <c r="G112" s="64"/>
      <c r="H112" s="64"/>
      <c r="I112" s="65"/>
    </row>
    <row r="113" customFormat="false" ht="15" hidden="false" customHeight="false" outlineLevel="0" collapsed="false">
      <c r="A113" s="56"/>
      <c r="B113" s="63" t="str">
        <f aca="false">IF($A113="","",IFERROR(VLOOKUP($A113,員工清單!$A$4:$B$53,2,FALSE()),"⚠查無此員編"))</f>
        <v/>
      </c>
      <c r="C113" s="64"/>
      <c r="D113" s="64"/>
      <c r="E113" s="59"/>
      <c r="F113" s="64"/>
      <c r="G113" s="64"/>
      <c r="H113" s="64"/>
      <c r="I113" s="65"/>
    </row>
    <row r="114" customFormat="false" ht="15" hidden="false" customHeight="false" outlineLevel="0" collapsed="false">
      <c r="A114" s="56"/>
      <c r="B114" s="63" t="str">
        <f aca="false">IF($A114="","",IFERROR(VLOOKUP($A114,員工清單!$A$4:$B$53,2,FALSE()),"⚠查無此員編"))</f>
        <v/>
      </c>
      <c r="C114" s="64"/>
      <c r="D114" s="64"/>
      <c r="E114" s="59"/>
      <c r="F114" s="64"/>
      <c r="G114" s="64"/>
      <c r="H114" s="64"/>
      <c r="I114" s="65"/>
    </row>
    <row r="115" customFormat="false" ht="15" hidden="false" customHeight="false" outlineLevel="0" collapsed="false">
      <c r="A115" s="56"/>
      <c r="B115" s="63" t="str">
        <f aca="false">IF($A115="","",IFERROR(VLOOKUP($A115,員工清單!$A$4:$B$53,2,FALSE()),"⚠查無此員編"))</f>
        <v/>
      </c>
      <c r="C115" s="64"/>
      <c r="D115" s="64"/>
      <c r="E115" s="59"/>
      <c r="F115" s="64"/>
      <c r="G115" s="64"/>
      <c r="H115" s="64"/>
      <c r="I115" s="65"/>
    </row>
    <row r="116" customFormat="false" ht="15" hidden="false" customHeight="false" outlineLevel="0" collapsed="false">
      <c r="A116" s="56"/>
      <c r="B116" s="63" t="str">
        <f aca="false">IF($A116="","",IFERROR(VLOOKUP($A116,員工清單!$A$4:$B$53,2,FALSE()),"⚠查無此員編"))</f>
        <v/>
      </c>
      <c r="C116" s="64"/>
      <c r="D116" s="64"/>
      <c r="E116" s="59"/>
      <c r="F116" s="64"/>
      <c r="G116" s="64"/>
      <c r="H116" s="64"/>
      <c r="I116" s="65"/>
    </row>
    <row r="117" customFormat="false" ht="15" hidden="false" customHeight="false" outlineLevel="0" collapsed="false">
      <c r="A117" s="56"/>
      <c r="B117" s="63" t="str">
        <f aca="false">IF($A117="","",IFERROR(VLOOKUP($A117,員工清單!$A$4:$B$53,2,FALSE()),"⚠查無此員編"))</f>
        <v/>
      </c>
      <c r="C117" s="64"/>
      <c r="D117" s="64"/>
      <c r="E117" s="59"/>
      <c r="F117" s="64"/>
      <c r="G117" s="64"/>
      <c r="H117" s="64"/>
      <c r="I117" s="65"/>
    </row>
    <row r="118" customFormat="false" ht="15" hidden="false" customHeight="false" outlineLevel="0" collapsed="false">
      <c r="A118" s="56"/>
      <c r="B118" s="63" t="str">
        <f aca="false">IF($A118="","",IFERROR(VLOOKUP($A118,員工清單!$A$4:$B$53,2,FALSE()),"⚠查無此員編"))</f>
        <v/>
      </c>
      <c r="C118" s="64"/>
      <c r="D118" s="64"/>
      <c r="E118" s="59"/>
      <c r="F118" s="64"/>
      <c r="G118" s="64"/>
      <c r="H118" s="64"/>
      <c r="I118" s="65"/>
    </row>
    <row r="119" customFormat="false" ht="15" hidden="false" customHeight="false" outlineLevel="0" collapsed="false">
      <c r="A119" s="56"/>
      <c r="B119" s="63" t="str">
        <f aca="false">IF($A119="","",IFERROR(VLOOKUP($A119,員工清單!$A$4:$B$53,2,FALSE()),"⚠查無此員編"))</f>
        <v/>
      </c>
      <c r="C119" s="64"/>
      <c r="D119" s="64"/>
      <c r="E119" s="59"/>
      <c r="F119" s="64"/>
      <c r="G119" s="64"/>
      <c r="H119" s="64"/>
      <c r="I119" s="65"/>
    </row>
    <row r="120" customFormat="false" ht="15" hidden="false" customHeight="false" outlineLevel="0" collapsed="false">
      <c r="A120" s="56"/>
      <c r="B120" s="63" t="str">
        <f aca="false">IF($A120="","",IFERROR(VLOOKUP($A120,員工清單!$A$4:$B$53,2,FALSE()),"⚠查無此員編"))</f>
        <v/>
      </c>
      <c r="C120" s="64"/>
      <c r="D120" s="64"/>
      <c r="E120" s="59"/>
      <c r="F120" s="64"/>
      <c r="G120" s="64"/>
      <c r="H120" s="64"/>
      <c r="I120" s="65"/>
    </row>
    <row r="121" customFormat="false" ht="15" hidden="false" customHeight="false" outlineLevel="0" collapsed="false">
      <c r="A121" s="56"/>
      <c r="B121" s="63" t="str">
        <f aca="false">IF($A121="","",IFERROR(VLOOKUP($A121,員工清單!$A$4:$B$53,2,FALSE()),"⚠查無此員編"))</f>
        <v/>
      </c>
      <c r="C121" s="64"/>
      <c r="D121" s="64"/>
      <c r="E121" s="59"/>
      <c r="F121" s="64"/>
      <c r="G121" s="64"/>
      <c r="H121" s="64"/>
      <c r="I121" s="65"/>
    </row>
    <row r="122" customFormat="false" ht="15" hidden="false" customHeight="false" outlineLevel="0" collapsed="false">
      <c r="A122" s="56"/>
      <c r="B122" s="63" t="str">
        <f aca="false">IF($A122="","",IFERROR(VLOOKUP($A122,員工清單!$A$4:$B$53,2,FALSE()),"⚠查無此員編"))</f>
        <v/>
      </c>
      <c r="C122" s="64"/>
      <c r="D122" s="64"/>
      <c r="E122" s="59"/>
      <c r="F122" s="64"/>
      <c r="G122" s="64"/>
      <c r="H122" s="64"/>
      <c r="I122" s="65"/>
    </row>
    <row r="123" customFormat="false" ht="15" hidden="false" customHeight="false" outlineLevel="0" collapsed="false">
      <c r="A123" s="56"/>
      <c r="B123" s="63" t="str">
        <f aca="false">IF($A123="","",IFERROR(VLOOKUP($A123,員工清單!$A$4:$B$53,2,FALSE()),"⚠查無此員編"))</f>
        <v/>
      </c>
      <c r="C123" s="64"/>
      <c r="D123" s="64"/>
      <c r="E123" s="59"/>
      <c r="F123" s="64"/>
      <c r="G123" s="64"/>
      <c r="H123" s="64"/>
      <c r="I123" s="65"/>
    </row>
    <row r="124" customFormat="false" ht="15" hidden="false" customHeight="false" outlineLevel="0" collapsed="false">
      <c r="A124" s="56"/>
      <c r="B124" s="63" t="str">
        <f aca="false">IF($A124="","",IFERROR(VLOOKUP($A124,員工清單!$A$4:$B$53,2,FALSE()),"⚠查無此員編"))</f>
        <v/>
      </c>
      <c r="C124" s="64"/>
      <c r="D124" s="64"/>
      <c r="E124" s="59"/>
      <c r="F124" s="64"/>
      <c r="G124" s="64"/>
      <c r="H124" s="64"/>
      <c r="I124" s="65"/>
    </row>
    <row r="125" customFormat="false" ht="15" hidden="false" customHeight="false" outlineLevel="0" collapsed="false">
      <c r="A125" s="56"/>
      <c r="B125" s="63" t="str">
        <f aca="false">IF($A125="","",IFERROR(VLOOKUP($A125,員工清單!$A$4:$B$53,2,FALSE()),"⚠查無此員編"))</f>
        <v/>
      </c>
      <c r="C125" s="64"/>
      <c r="D125" s="64"/>
      <c r="E125" s="59"/>
      <c r="F125" s="64"/>
      <c r="G125" s="64"/>
      <c r="H125" s="64"/>
      <c r="I125" s="65"/>
    </row>
    <row r="126" customFormat="false" ht="15" hidden="false" customHeight="false" outlineLevel="0" collapsed="false">
      <c r="A126" s="56"/>
      <c r="B126" s="63" t="str">
        <f aca="false">IF($A126="","",IFERROR(VLOOKUP($A126,員工清單!$A$4:$B$53,2,FALSE()),"⚠查無此員編"))</f>
        <v/>
      </c>
      <c r="C126" s="64"/>
      <c r="D126" s="64"/>
      <c r="E126" s="59"/>
      <c r="F126" s="64"/>
      <c r="G126" s="64"/>
      <c r="H126" s="64"/>
      <c r="I126" s="65"/>
    </row>
    <row r="127" customFormat="false" ht="15" hidden="false" customHeight="false" outlineLevel="0" collapsed="false">
      <c r="A127" s="56"/>
      <c r="B127" s="63" t="str">
        <f aca="false">IF($A127="","",IFERROR(VLOOKUP($A127,員工清單!$A$4:$B$53,2,FALSE()),"⚠查無此員編"))</f>
        <v/>
      </c>
      <c r="C127" s="64"/>
      <c r="D127" s="64"/>
      <c r="E127" s="59"/>
      <c r="F127" s="64"/>
      <c r="G127" s="64"/>
      <c r="H127" s="64"/>
      <c r="I127" s="65"/>
    </row>
    <row r="128" customFormat="false" ht="15" hidden="false" customHeight="false" outlineLevel="0" collapsed="false">
      <c r="A128" s="56"/>
      <c r="B128" s="63" t="str">
        <f aca="false">IF($A128="","",IFERROR(VLOOKUP($A128,員工清單!$A$4:$B$53,2,FALSE()),"⚠查無此員編"))</f>
        <v/>
      </c>
      <c r="C128" s="64"/>
      <c r="D128" s="64"/>
      <c r="E128" s="59"/>
      <c r="F128" s="64"/>
      <c r="G128" s="64"/>
      <c r="H128" s="64"/>
      <c r="I128" s="65"/>
    </row>
    <row r="129" customFormat="false" ht="15" hidden="false" customHeight="false" outlineLevel="0" collapsed="false">
      <c r="A129" s="56"/>
      <c r="B129" s="63" t="str">
        <f aca="false">IF($A129="","",IFERROR(VLOOKUP($A129,員工清單!$A$4:$B$53,2,FALSE()),"⚠查無此員編"))</f>
        <v/>
      </c>
      <c r="C129" s="64"/>
      <c r="D129" s="64"/>
      <c r="E129" s="59"/>
      <c r="F129" s="64"/>
      <c r="G129" s="64"/>
      <c r="H129" s="64"/>
      <c r="I129" s="65"/>
    </row>
    <row r="130" customFormat="false" ht="15" hidden="false" customHeight="false" outlineLevel="0" collapsed="false">
      <c r="A130" s="56"/>
      <c r="B130" s="63" t="str">
        <f aca="false">IF($A130="","",IFERROR(VLOOKUP($A130,員工清單!$A$4:$B$53,2,FALSE()),"⚠查無此員編"))</f>
        <v/>
      </c>
      <c r="C130" s="64"/>
      <c r="D130" s="64"/>
      <c r="E130" s="59"/>
      <c r="F130" s="64"/>
      <c r="G130" s="64"/>
      <c r="H130" s="64"/>
      <c r="I130" s="65"/>
    </row>
    <row r="131" customFormat="false" ht="15" hidden="false" customHeight="false" outlineLevel="0" collapsed="false">
      <c r="A131" s="56"/>
      <c r="B131" s="63" t="str">
        <f aca="false">IF($A131="","",IFERROR(VLOOKUP($A131,員工清單!$A$4:$B$53,2,FALSE()),"⚠查無此員編"))</f>
        <v/>
      </c>
      <c r="C131" s="64"/>
      <c r="D131" s="64"/>
      <c r="E131" s="59"/>
      <c r="F131" s="64"/>
      <c r="G131" s="64"/>
      <c r="H131" s="64"/>
      <c r="I131" s="65"/>
    </row>
    <row r="132" customFormat="false" ht="15" hidden="false" customHeight="false" outlineLevel="0" collapsed="false">
      <c r="A132" s="56"/>
      <c r="B132" s="63" t="str">
        <f aca="false">IF($A132="","",IFERROR(VLOOKUP($A132,員工清單!$A$4:$B$53,2,FALSE()),"⚠查無此員編"))</f>
        <v/>
      </c>
      <c r="C132" s="64"/>
      <c r="D132" s="64"/>
      <c r="E132" s="59"/>
      <c r="F132" s="64"/>
      <c r="G132" s="64"/>
      <c r="H132" s="64"/>
      <c r="I132" s="65"/>
    </row>
    <row r="133" customFormat="false" ht="15" hidden="false" customHeight="false" outlineLevel="0" collapsed="false">
      <c r="A133" s="56"/>
      <c r="B133" s="63" t="str">
        <f aca="false">IF($A133="","",IFERROR(VLOOKUP($A133,員工清單!$A$4:$B$53,2,FALSE()),"⚠查無此員編"))</f>
        <v/>
      </c>
      <c r="C133" s="64"/>
      <c r="D133" s="64"/>
      <c r="E133" s="59"/>
      <c r="F133" s="64"/>
      <c r="G133" s="64"/>
      <c r="H133" s="64"/>
      <c r="I133" s="65"/>
    </row>
    <row r="134" customFormat="false" ht="15" hidden="false" customHeight="false" outlineLevel="0" collapsed="false">
      <c r="A134" s="56"/>
      <c r="B134" s="63" t="str">
        <f aca="false">IF($A134="","",IFERROR(VLOOKUP($A134,員工清單!$A$4:$B$53,2,FALSE()),"⚠查無此員編"))</f>
        <v/>
      </c>
      <c r="C134" s="64"/>
      <c r="D134" s="64"/>
      <c r="E134" s="59"/>
      <c r="F134" s="64"/>
      <c r="G134" s="64"/>
      <c r="H134" s="64"/>
      <c r="I134" s="65"/>
    </row>
    <row r="135" customFormat="false" ht="15" hidden="false" customHeight="false" outlineLevel="0" collapsed="false">
      <c r="A135" s="56"/>
      <c r="B135" s="63" t="str">
        <f aca="false">IF($A135="","",IFERROR(VLOOKUP($A135,員工清單!$A$4:$B$53,2,FALSE()),"⚠查無此員編"))</f>
        <v/>
      </c>
      <c r="C135" s="64"/>
      <c r="D135" s="64"/>
      <c r="E135" s="59"/>
      <c r="F135" s="64"/>
      <c r="G135" s="64"/>
      <c r="H135" s="64"/>
      <c r="I135" s="65"/>
    </row>
    <row r="136" customFormat="false" ht="15" hidden="false" customHeight="false" outlineLevel="0" collapsed="false">
      <c r="A136" s="56"/>
      <c r="B136" s="63" t="str">
        <f aca="false">IF($A136="","",IFERROR(VLOOKUP($A136,員工清單!$A$4:$B$53,2,FALSE()),"⚠查無此員編"))</f>
        <v/>
      </c>
      <c r="C136" s="64"/>
      <c r="D136" s="64"/>
      <c r="E136" s="59"/>
      <c r="F136" s="64"/>
      <c r="G136" s="64"/>
      <c r="H136" s="64"/>
      <c r="I136" s="65"/>
    </row>
    <row r="137" customFormat="false" ht="15" hidden="false" customHeight="false" outlineLevel="0" collapsed="false">
      <c r="A137" s="56"/>
      <c r="B137" s="63" t="str">
        <f aca="false">IF($A137="","",IFERROR(VLOOKUP($A137,員工清單!$A$4:$B$53,2,FALSE()),"⚠查無此員編"))</f>
        <v/>
      </c>
      <c r="C137" s="64"/>
      <c r="D137" s="64"/>
      <c r="E137" s="59"/>
      <c r="F137" s="64"/>
      <c r="G137" s="64"/>
      <c r="H137" s="64"/>
      <c r="I137" s="65"/>
    </row>
    <row r="138" customFormat="false" ht="15" hidden="false" customHeight="false" outlineLevel="0" collapsed="false">
      <c r="A138" s="56"/>
      <c r="B138" s="63" t="str">
        <f aca="false">IF($A138="","",IFERROR(VLOOKUP($A138,員工清單!$A$4:$B$53,2,FALSE()),"⚠查無此員編"))</f>
        <v/>
      </c>
      <c r="C138" s="64"/>
      <c r="D138" s="64"/>
      <c r="E138" s="59"/>
      <c r="F138" s="64"/>
      <c r="G138" s="64"/>
      <c r="H138" s="64"/>
      <c r="I138" s="65"/>
    </row>
    <row r="139" customFormat="false" ht="15" hidden="false" customHeight="false" outlineLevel="0" collapsed="false">
      <c r="A139" s="56"/>
      <c r="B139" s="63" t="str">
        <f aca="false">IF($A139="","",IFERROR(VLOOKUP($A139,員工清單!$A$4:$B$53,2,FALSE()),"⚠查無此員編"))</f>
        <v/>
      </c>
      <c r="C139" s="64"/>
      <c r="D139" s="64"/>
      <c r="E139" s="59"/>
      <c r="F139" s="64"/>
      <c r="G139" s="64"/>
      <c r="H139" s="64"/>
      <c r="I139" s="65"/>
    </row>
    <row r="140" customFormat="false" ht="15" hidden="false" customHeight="false" outlineLevel="0" collapsed="false">
      <c r="A140" s="56"/>
      <c r="B140" s="63" t="str">
        <f aca="false">IF($A140="","",IFERROR(VLOOKUP($A140,員工清單!$A$4:$B$53,2,FALSE()),"⚠查無此員編"))</f>
        <v/>
      </c>
      <c r="C140" s="64"/>
      <c r="D140" s="64"/>
      <c r="E140" s="59"/>
      <c r="F140" s="64"/>
      <c r="G140" s="64"/>
      <c r="H140" s="64"/>
      <c r="I140" s="65"/>
    </row>
    <row r="141" customFormat="false" ht="15" hidden="false" customHeight="false" outlineLevel="0" collapsed="false">
      <c r="A141" s="56"/>
      <c r="B141" s="63" t="str">
        <f aca="false">IF($A141="","",IFERROR(VLOOKUP($A141,員工清單!$A$4:$B$53,2,FALSE()),"⚠查無此員編"))</f>
        <v/>
      </c>
      <c r="C141" s="64"/>
      <c r="D141" s="64"/>
      <c r="E141" s="59"/>
      <c r="F141" s="64"/>
      <c r="G141" s="64"/>
      <c r="H141" s="64"/>
      <c r="I141" s="65"/>
    </row>
    <row r="142" customFormat="false" ht="15" hidden="false" customHeight="false" outlineLevel="0" collapsed="false">
      <c r="A142" s="56"/>
      <c r="B142" s="63" t="str">
        <f aca="false">IF($A142="","",IFERROR(VLOOKUP($A142,員工清單!$A$4:$B$53,2,FALSE()),"⚠查無此員編"))</f>
        <v/>
      </c>
      <c r="C142" s="64"/>
      <c r="D142" s="64"/>
      <c r="E142" s="59"/>
      <c r="F142" s="64"/>
      <c r="G142" s="64"/>
      <c r="H142" s="64"/>
      <c r="I142" s="65"/>
    </row>
    <row r="143" customFormat="false" ht="15" hidden="false" customHeight="false" outlineLevel="0" collapsed="false">
      <c r="A143" s="56"/>
      <c r="B143" s="63" t="str">
        <f aca="false">IF($A143="","",IFERROR(VLOOKUP($A143,員工清單!$A$4:$B$53,2,FALSE()),"⚠查無此員編"))</f>
        <v/>
      </c>
      <c r="C143" s="64"/>
      <c r="D143" s="64"/>
      <c r="E143" s="59"/>
      <c r="F143" s="64"/>
      <c r="G143" s="64"/>
      <c r="H143" s="64"/>
      <c r="I143" s="65"/>
    </row>
    <row r="144" customFormat="false" ht="15" hidden="false" customHeight="false" outlineLevel="0" collapsed="false">
      <c r="A144" s="56"/>
      <c r="B144" s="63" t="str">
        <f aca="false">IF($A144="","",IFERROR(VLOOKUP($A144,員工清單!$A$4:$B$53,2,FALSE()),"⚠查無此員編"))</f>
        <v/>
      </c>
      <c r="C144" s="64"/>
      <c r="D144" s="64"/>
      <c r="E144" s="59"/>
      <c r="F144" s="64"/>
      <c r="G144" s="64"/>
      <c r="H144" s="64"/>
      <c r="I144" s="65"/>
    </row>
    <row r="145" customFormat="false" ht="15" hidden="false" customHeight="false" outlineLevel="0" collapsed="false">
      <c r="A145" s="56"/>
      <c r="B145" s="63" t="str">
        <f aca="false">IF($A145="","",IFERROR(VLOOKUP($A145,員工清單!$A$4:$B$53,2,FALSE()),"⚠查無此員編"))</f>
        <v/>
      </c>
      <c r="C145" s="64"/>
      <c r="D145" s="64"/>
      <c r="E145" s="59"/>
      <c r="F145" s="64"/>
      <c r="G145" s="64"/>
      <c r="H145" s="64"/>
      <c r="I145" s="65"/>
    </row>
    <row r="146" customFormat="false" ht="15" hidden="false" customHeight="false" outlineLevel="0" collapsed="false">
      <c r="A146" s="56"/>
      <c r="B146" s="63" t="str">
        <f aca="false">IF($A146="","",IFERROR(VLOOKUP($A146,員工清單!$A$4:$B$53,2,FALSE()),"⚠查無此員編"))</f>
        <v/>
      </c>
      <c r="C146" s="64"/>
      <c r="D146" s="64"/>
      <c r="E146" s="59"/>
      <c r="F146" s="64"/>
      <c r="G146" s="64"/>
      <c r="H146" s="64"/>
      <c r="I146" s="65"/>
    </row>
    <row r="147" customFormat="false" ht="15" hidden="false" customHeight="false" outlineLevel="0" collapsed="false">
      <c r="A147" s="56"/>
      <c r="B147" s="63" t="str">
        <f aca="false">IF($A147="","",IFERROR(VLOOKUP($A147,員工清單!$A$4:$B$53,2,FALSE()),"⚠查無此員編"))</f>
        <v/>
      </c>
      <c r="C147" s="64"/>
      <c r="D147" s="64"/>
      <c r="E147" s="59"/>
      <c r="F147" s="64"/>
      <c r="G147" s="64"/>
      <c r="H147" s="64"/>
      <c r="I147" s="65"/>
    </row>
    <row r="148" customFormat="false" ht="15" hidden="false" customHeight="false" outlineLevel="0" collapsed="false">
      <c r="A148" s="56"/>
      <c r="B148" s="63" t="str">
        <f aca="false">IF($A148="","",IFERROR(VLOOKUP($A148,員工清單!$A$4:$B$53,2,FALSE()),"⚠查無此員編"))</f>
        <v/>
      </c>
      <c r="C148" s="64"/>
      <c r="D148" s="64"/>
      <c r="E148" s="59"/>
      <c r="F148" s="64"/>
      <c r="G148" s="64"/>
      <c r="H148" s="64"/>
      <c r="I148" s="65"/>
    </row>
    <row r="149" customFormat="false" ht="15" hidden="false" customHeight="false" outlineLevel="0" collapsed="false">
      <c r="A149" s="56"/>
      <c r="B149" s="63" t="str">
        <f aca="false">IF($A149="","",IFERROR(VLOOKUP($A149,員工清單!$A$4:$B$53,2,FALSE()),"⚠查無此員編"))</f>
        <v/>
      </c>
      <c r="C149" s="64"/>
      <c r="D149" s="64"/>
      <c r="E149" s="59"/>
      <c r="F149" s="64"/>
      <c r="G149" s="64"/>
      <c r="H149" s="64"/>
      <c r="I149" s="65"/>
    </row>
    <row r="150" customFormat="false" ht="15" hidden="false" customHeight="false" outlineLevel="0" collapsed="false">
      <c r="A150" s="56"/>
      <c r="B150" s="63" t="str">
        <f aca="false">IF($A150="","",IFERROR(VLOOKUP($A150,員工清單!$A$4:$B$53,2,FALSE()),"⚠查無此員編"))</f>
        <v/>
      </c>
      <c r="C150" s="64"/>
      <c r="D150" s="64"/>
      <c r="E150" s="59"/>
      <c r="F150" s="64"/>
      <c r="G150" s="64"/>
      <c r="H150" s="64"/>
      <c r="I150" s="65"/>
    </row>
    <row r="151" customFormat="false" ht="15" hidden="false" customHeight="false" outlineLevel="0" collapsed="false">
      <c r="A151" s="56"/>
      <c r="B151" s="63" t="str">
        <f aca="false">IF($A151="","",IFERROR(VLOOKUP($A151,員工清單!$A$4:$B$53,2,FALSE()),"⚠查無此員編"))</f>
        <v/>
      </c>
      <c r="C151" s="64"/>
      <c r="D151" s="64"/>
      <c r="E151" s="59"/>
      <c r="F151" s="64"/>
      <c r="G151" s="64"/>
      <c r="H151" s="64"/>
      <c r="I151" s="65"/>
    </row>
    <row r="152" customFormat="false" ht="15" hidden="false" customHeight="false" outlineLevel="0" collapsed="false">
      <c r="A152" s="56"/>
      <c r="B152" s="63" t="str">
        <f aca="false">IF($A152="","",IFERROR(VLOOKUP($A152,員工清單!$A$4:$B$53,2,FALSE()),"⚠查無此員編"))</f>
        <v/>
      </c>
      <c r="C152" s="64"/>
      <c r="D152" s="64"/>
      <c r="E152" s="59"/>
      <c r="F152" s="64"/>
      <c r="G152" s="64"/>
      <c r="H152" s="64"/>
      <c r="I152" s="65"/>
    </row>
    <row r="153" customFormat="false" ht="15" hidden="false" customHeight="false" outlineLevel="0" collapsed="false">
      <c r="A153" s="56"/>
      <c r="B153" s="63" t="str">
        <f aca="false">IF($A153="","",IFERROR(VLOOKUP($A153,員工清單!$A$4:$B$53,2,FALSE()),"⚠查無此員編"))</f>
        <v/>
      </c>
      <c r="C153" s="64"/>
      <c r="D153" s="64"/>
      <c r="E153" s="59"/>
      <c r="F153" s="64"/>
      <c r="G153" s="64"/>
      <c r="H153" s="64"/>
      <c r="I153" s="65"/>
    </row>
    <row r="154" customFormat="false" ht="15" hidden="false" customHeight="false" outlineLevel="0" collapsed="false">
      <c r="A154" s="56"/>
      <c r="B154" s="63" t="str">
        <f aca="false">IF($A154="","",IFERROR(VLOOKUP($A154,員工清單!$A$4:$B$53,2,FALSE()),"⚠查無此員編"))</f>
        <v/>
      </c>
      <c r="C154" s="64"/>
      <c r="D154" s="64"/>
      <c r="E154" s="59"/>
      <c r="F154" s="64"/>
      <c r="G154" s="64"/>
      <c r="H154" s="64"/>
      <c r="I154" s="65"/>
    </row>
    <row r="155" customFormat="false" ht="15" hidden="false" customHeight="false" outlineLevel="0" collapsed="false">
      <c r="A155" s="56"/>
      <c r="B155" s="63" t="str">
        <f aca="false">IF($A155="","",IFERROR(VLOOKUP($A155,員工清單!$A$4:$B$53,2,FALSE()),"⚠查無此員編"))</f>
        <v/>
      </c>
      <c r="C155" s="64"/>
      <c r="D155" s="64"/>
      <c r="E155" s="59"/>
      <c r="F155" s="64"/>
      <c r="G155" s="64"/>
      <c r="H155" s="64"/>
      <c r="I155" s="65"/>
    </row>
    <row r="156" customFormat="false" ht="15" hidden="false" customHeight="false" outlineLevel="0" collapsed="false">
      <c r="A156" s="56"/>
      <c r="B156" s="63" t="str">
        <f aca="false">IF($A156="","",IFERROR(VLOOKUP($A156,員工清單!$A$4:$B$53,2,FALSE()),"⚠查無此員編"))</f>
        <v/>
      </c>
      <c r="C156" s="64"/>
      <c r="D156" s="64"/>
      <c r="E156" s="59"/>
      <c r="F156" s="64"/>
      <c r="G156" s="64"/>
      <c r="H156" s="64"/>
      <c r="I156" s="65"/>
    </row>
    <row r="157" customFormat="false" ht="15" hidden="false" customHeight="false" outlineLevel="0" collapsed="false">
      <c r="A157" s="56"/>
      <c r="B157" s="63" t="str">
        <f aca="false">IF($A157="","",IFERROR(VLOOKUP($A157,員工清單!$A$4:$B$53,2,FALSE()),"⚠查無此員編"))</f>
        <v/>
      </c>
      <c r="C157" s="64"/>
      <c r="D157" s="64"/>
      <c r="E157" s="59"/>
      <c r="F157" s="64"/>
      <c r="G157" s="64"/>
      <c r="H157" s="64"/>
      <c r="I157" s="65"/>
    </row>
    <row r="158" customFormat="false" ht="15" hidden="false" customHeight="false" outlineLevel="0" collapsed="false">
      <c r="A158" s="56"/>
      <c r="B158" s="63" t="str">
        <f aca="false">IF($A158="","",IFERROR(VLOOKUP($A158,員工清單!$A$4:$B$53,2,FALSE()),"⚠查無此員編"))</f>
        <v/>
      </c>
      <c r="C158" s="64"/>
      <c r="D158" s="64"/>
      <c r="E158" s="59"/>
      <c r="F158" s="64"/>
      <c r="G158" s="64"/>
      <c r="H158" s="64"/>
      <c r="I158" s="65"/>
    </row>
    <row r="159" customFormat="false" ht="15" hidden="false" customHeight="false" outlineLevel="0" collapsed="false">
      <c r="A159" s="56"/>
      <c r="B159" s="63" t="str">
        <f aca="false">IF($A159="","",IFERROR(VLOOKUP($A159,員工清單!$A$4:$B$53,2,FALSE()),"⚠查無此員編"))</f>
        <v/>
      </c>
      <c r="C159" s="64"/>
      <c r="D159" s="64"/>
      <c r="E159" s="59"/>
      <c r="F159" s="64"/>
      <c r="G159" s="64"/>
      <c r="H159" s="64"/>
      <c r="I159" s="65"/>
    </row>
    <row r="160" customFormat="false" ht="15" hidden="false" customHeight="false" outlineLevel="0" collapsed="false">
      <c r="A160" s="56"/>
      <c r="B160" s="63" t="str">
        <f aca="false">IF($A160="","",IFERROR(VLOOKUP($A160,員工清單!$A$4:$B$53,2,FALSE()),"⚠查無此員編"))</f>
        <v/>
      </c>
      <c r="C160" s="64"/>
      <c r="D160" s="64"/>
      <c r="E160" s="59"/>
      <c r="F160" s="64"/>
      <c r="G160" s="64"/>
      <c r="H160" s="64"/>
      <c r="I160" s="65"/>
    </row>
    <row r="161" customFormat="false" ht="15" hidden="false" customHeight="false" outlineLevel="0" collapsed="false">
      <c r="A161" s="56"/>
      <c r="B161" s="63" t="str">
        <f aca="false">IF($A161="","",IFERROR(VLOOKUP($A161,員工清單!$A$4:$B$53,2,FALSE()),"⚠查無此員編"))</f>
        <v/>
      </c>
      <c r="C161" s="64"/>
      <c r="D161" s="64"/>
      <c r="E161" s="59"/>
      <c r="F161" s="64"/>
      <c r="G161" s="64"/>
      <c r="H161" s="64"/>
      <c r="I161" s="65"/>
    </row>
    <row r="162" customFormat="false" ht="15" hidden="false" customHeight="false" outlineLevel="0" collapsed="false">
      <c r="A162" s="56"/>
      <c r="B162" s="63" t="str">
        <f aca="false">IF($A162="","",IFERROR(VLOOKUP($A162,員工清單!$A$4:$B$53,2,FALSE()),"⚠查無此員編"))</f>
        <v/>
      </c>
      <c r="C162" s="64"/>
      <c r="D162" s="64"/>
      <c r="E162" s="59"/>
      <c r="F162" s="64"/>
      <c r="G162" s="64"/>
      <c r="H162" s="64"/>
      <c r="I162" s="65"/>
    </row>
    <row r="163" customFormat="false" ht="15" hidden="false" customHeight="false" outlineLevel="0" collapsed="false">
      <c r="A163" s="56"/>
      <c r="B163" s="63" t="str">
        <f aca="false">IF($A163="","",IFERROR(VLOOKUP($A163,員工清單!$A$4:$B$53,2,FALSE()),"⚠查無此員編"))</f>
        <v/>
      </c>
      <c r="C163" s="64"/>
      <c r="D163" s="64"/>
      <c r="E163" s="59"/>
      <c r="F163" s="64"/>
      <c r="G163" s="64"/>
      <c r="H163" s="64"/>
      <c r="I163" s="65"/>
    </row>
    <row r="164" customFormat="false" ht="15" hidden="false" customHeight="false" outlineLevel="0" collapsed="false">
      <c r="A164" s="56"/>
      <c r="B164" s="63" t="str">
        <f aca="false">IF($A164="","",IFERROR(VLOOKUP($A164,員工清單!$A$4:$B$53,2,FALSE()),"⚠查無此員編"))</f>
        <v/>
      </c>
      <c r="C164" s="64"/>
      <c r="D164" s="64"/>
      <c r="E164" s="59"/>
      <c r="F164" s="64"/>
      <c r="G164" s="64"/>
      <c r="H164" s="64"/>
      <c r="I164" s="65"/>
    </row>
    <row r="165" customFormat="false" ht="15" hidden="false" customHeight="false" outlineLevel="0" collapsed="false">
      <c r="A165" s="56"/>
      <c r="B165" s="63" t="str">
        <f aca="false">IF($A165="","",IFERROR(VLOOKUP($A165,員工清單!$A$4:$B$53,2,FALSE()),"⚠查無此員編"))</f>
        <v/>
      </c>
      <c r="C165" s="64"/>
      <c r="D165" s="64"/>
      <c r="E165" s="59"/>
      <c r="F165" s="64"/>
      <c r="G165" s="64"/>
      <c r="H165" s="64"/>
      <c r="I165" s="65"/>
    </row>
    <row r="166" customFormat="false" ht="15" hidden="false" customHeight="false" outlineLevel="0" collapsed="false">
      <c r="A166" s="56"/>
      <c r="B166" s="63" t="str">
        <f aca="false">IF($A166="","",IFERROR(VLOOKUP($A166,員工清單!$A$4:$B$53,2,FALSE()),"⚠查無此員編"))</f>
        <v/>
      </c>
      <c r="C166" s="64"/>
      <c r="D166" s="64"/>
      <c r="E166" s="59"/>
      <c r="F166" s="64"/>
      <c r="G166" s="64"/>
      <c r="H166" s="64"/>
      <c r="I166" s="65"/>
    </row>
    <row r="167" customFormat="false" ht="15" hidden="false" customHeight="false" outlineLevel="0" collapsed="false">
      <c r="A167" s="56"/>
      <c r="B167" s="63" t="str">
        <f aca="false">IF($A167="","",IFERROR(VLOOKUP($A167,員工清單!$A$4:$B$53,2,FALSE()),"⚠查無此員編"))</f>
        <v/>
      </c>
      <c r="C167" s="64"/>
      <c r="D167" s="64"/>
      <c r="E167" s="59"/>
      <c r="F167" s="64"/>
      <c r="G167" s="64"/>
      <c r="H167" s="64"/>
      <c r="I167" s="65"/>
    </row>
    <row r="168" customFormat="false" ht="15" hidden="false" customHeight="false" outlineLevel="0" collapsed="false">
      <c r="A168" s="56"/>
      <c r="B168" s="63" t="str">
        <f aca="false">IF($A168="","",IFERROR(VLOOKUP($A168,員工清單!$A$4:$B$53,2,FALSE()),"⚠查無此員編"))</f>
        <v/>
      </c>
      <c r="C168" s="64"/>
      <c r="D168" s="64"/>
      <c r="E168" s="59"/>
      <c r="F168" s="64"/>
      <c r="G168" s="64"/>
      <c r="H168" s="64"/>
      <c r="I168" s="65"/>
    </row>
    <row r="169" customFormat="false" ht="15" hidden="false" customHeight="false" outlineLevel="0" collapsed="false">
      <c r="A169" s="56"/>
      <c r="B169" s="63" t="str">
        <f aca="false">IF($A169="","",IFERROR(VLOOKUP($A169,員工清單!$A$4:$B$53,2,FALSE()),"⚠查無此員編"))</f>
        <v/>
      </c>
      <c r="C169" s="64"/>
      <c r="D169" s="64"/>
      <c r="E169" s="59"/>
      <c r="F169" s="64"/>
      <c r="G169" s="64"/>
      <c r="H169" s="64"/>
      <c r="I169" s="65"/>
    </row>
    <row r="170" customFormat="false" ht="15" hidden="false" customHeight="false" outlineLevel="0" collapsed="false">
      <c r="A170" s="56"/>
      <c r="B170" s="63" t="str">
        <f aca="false">IF($A170="","",IFERROR(VLOOKUP($A170,員工清單!$A$4:$B$53,2,FALSE()),"⚠查無此員編"))</f>
        <v/>
      </c>
      <c r="C170" s="64"/>
      <c r="D170" s="64"/>
      <c r="E170" s="59"/>
      <c r="F170" s="64"/>
      <c r="G170" s="64"/>
      <c r="H170" s="64"/>
      <c r="I170" s="65"/>
    </row>
    <row r="171" customFormat="false" ht="15" hidden="false" customHeight="false" outlineLevel="0" collapsed="false">
      <c r="A171" s="56"/>
      <c r="B171" s="63" t="str">
        <f aca="false">IF($A171="","",IFERROR(VLOOKUP($A171,員工清單!$A$4:$B$53,2,FALSE()),"⚠查無此員編"))</f>
        <v/>
      </c>
      <c r="C171" s="64"/>
      <c r="D171" s="64"/>
      <c r="E171" s="59"/>
      <c r="F171" s="64"/>
      <c r="G171" s="64"/>
      <c r="H171" s="64"/>
      <c r="I171" s="65"/>
    </row>
    <row r="172" customFormat="false" ht="15" hidden="false" customHeight="false" outlineLevel="0" collapsed="false">
      <c r="A172" s="56"/>
      <c r="B172" s="63" t="str">
        <f aca="false">IF($A172="","",IFERROR(VLOOKUP($A172,員工清單!$A$4:$B$53,2,FALSE()),"⚠查無此員編"))</f>
        <v/>
      </c>
      <c r="C172" s="64"/>
      <c r="D172" s="64"/>
      <c r="E172" s="59"/>
      <c r="F172" s="64"/>
      <c r="G172" s="64"/>
      <c r="H172" s="64"/>
      <c r="I172" s="65"/>
    </row>
    <row r="173" customFormat="false" ht="15" hidden="false" customHeight="false" outlineLevel="0" collapsed="false">
      <c r="A173" s="56"/>
      <c r="B173" s="63" t="str">
        <f aca="false">IF($A173="","",IFERROR(VLOOKUP($A173,員工清單!$A$4:$B$53,2,FALSE()),"⚠查無此員編"))</f>
        <v/>
      </c>
      <c r="C173" s="64"/>
      <c r="D173" s="64"/>
      <c r="E173" s="59"/>
      <c r="F173" s="64"/>
      <c r="G173" s="64"/>
      <c r="H173" s="64"/>
      <c r="I173" s="65"/>
    </row>
    <row r="174" customFormat="false" ht="15" hidden="false" customHeight="false" outlineLevel="0" collapsed="false">
      <c r="A174" s="56"/>
      <c r="B174" s="63" t="str">
        <f aca="false">IF($A174="","",IFERROR(VLOOKUP($A174,員工清單!$A$4:$B$53,2,FALSE()),"⚠查無此員編"))</f>
        <v/>
      </c>
      <c r="C174" s="64"/>
      <c r="D174" s="64"/>
      <c r="E174" s="59"/>
      <c r="F174" s="64"/>
      <c r="G174" s="64"/>
      <c r="H174" s="64"/>
      <c r="I174" s="65"/>
    </row>
    <row r="175" customFormat="false" ht="15" hidden="false" customHeight="false" outlineLevel="0" collapsed="false">
      <c r="A175" s="56"/>
      <c r="B175" s="63" t="str">
        <f aca="false">IF($A175="","",IFERROR(VLOOKUP($A175,員工清單!$A$4:$B$53,2,FALSE()),"⚠查無此員編"))</f>
        <v/>
      </c>
      <c r="C175" s="64"/>
      <c r="D175" s="64"/>
      <c r="E175" s="59"/>
      <c r="F175" s="64"/>
      <c r="G175" s="64"/>
      <c r="H175" s="64"/>
      <c r="I175" s="65"/>
    </row>
    <row r="176" customFormat="false" ht="15" hidden="false" customHeight="false" outlineLevel="0" collapsed="false">
      <c r="A176" s="56"/>
      <c r="B176" s="63" t="str">
        <f aca="false">IF($A176="","",IFERROR(VLOOKUP($A176,員工清單!$A$4:$B$53,2,FALSE()),"⚠查無此員編"))</f>
        <v/>
      </c>
      <c r="C176" s="64"/>
      <c r="D176" s="64"/>
      <c r="E176" s="59"/>
      <c r="F176" s="64"/>
      <c r="G176" s="64"/>
      <c r="H176" s="64"/>
      <c r="I176" s="65"/>
    </row>
    <row r="177" customFormat="false" ht="15" hidden="false" customHeight="false" outlineLevel="0" collapsed="false">
      <c r="A177" s="56"/>
      <c r="B177" s="63" t="str">
        <f aca="false">IF($A177="","",IFERROR(VLOOKUP($A177,員工清單!$A$4:$B$53,2,FALSE()),"⚠查無此員編"))</f>
        <v/>
      </c>
      <c r="C177" s="64"/>
      <c r="D177" s="64"/>
      <c r="E177" s="59"/>
      <c r="F177" s="64"/>
      <c r="G177" s="64"/>
      <c r="H177" s="64"/>
      <c r="I177" s="65"/>
    </row>
    <row r="178" customFormat="false" ht="15" hidden="false" customHeight="false" outlineLevel="0" collapsed="false">
      <c r="A178" s="56"/>
      <c r="B178" s="63" t="str">
        <f aca="false">IF($A178="","",IFERROR(VLOOKUP($A178,員工清單!$A$4:$B$53,2,FALSE()),"⚠查無此員編"))</f>
        <v/>
      </c>
      <c r="C178" s="64"/>
      <c r="D178" s="64"/>
      <c r="E178" s="59"/>
      <c r="F178" s="64"/>
      <c r="G178" s="64"/>
      <c r="H178" s="64"/>
      <c r="I178" s="65"/>
    </row>
    <row r="179" customFormat="false" ht="15" hidden="false" customHeight="false" outlineLevel="0" collapsed="false">
      <c r="A179" s="56"/>
      <c r="B179" s="63" t="str">
        <f aca="false">IF($A179="","",IFERROR(VLOOKUP($A179,員工清單!$A$4:$B$53,2,FALSE()),"⚠查無此員編"))</f>
        <v/>
      </c>
      <c r="C179" s="64"/>
      <c r="D179" s="64"/>
      <c r="E179" s="59"/>
      <c r="F179" s="64"/>
      <c r="G179" s="64"/>
      <c r="H179" s="64"/>
      <c r="I179" s="65"/>
    </row>
    <row r="180" customFormat="false" ht="15" hidden="false" customHeight="false" outlineLevel="0" collapsed="false">
      <c r="A180" s="56"/>
      <c r="B180" s="63" t="str">
        <f aca="false">IF($A180="","",IFERROR(VLOOKUP($A180,員工清單!$A$4:$B$53,2,FALSE()),"⚠查無此員編"))</f>
        <v/>
      </c>
      <c r="C180" s="64"/>
      <c r="D180" s="64"/>
      <c r="E180" s="59"/>
      <c r="F180" s="64"/>
      <c r="G180" s="64"/>
      <c r="H180" s="64"/>
      <c r="I180" s="65"/>
    </row>
    <row r="181" customFormat="false" ht="15" hidden="false" customHeight="false" outlineLevel="0" collapsed="false">
      <c r="A181" s="56"/>
      <c r="B181" s="63" t="str">
        <f aca="false">IF($A181="","",IFERROR(VLOOKUP($A181,員工清單!$A$4:$B$53,2,FALSE()),"⚠查無此員編"))</f>
        <v/>
      </c>
      <c r="C181" s="64"/>
      <c r="D181" s="64"/>
      <c r="E181" s="59"/>
      <c r="F181" s="64"/>
      <c r="G181" s="64"/>
      <c r="H181" s="64"/>
      <c r="I181" s="65"/>
    </row>
    <row r="182" customFormat="false" ht="15" hidden="false" customHeight="false" outlineLevel="0" collapsed="false">
      <c r="A182" s="56"/>
      <c r="B182" s="63" t="str">
        <f aca="false">IF($A182="","",IFERROR(VLOOKUP($A182,員工清單!$A$4:$B$53,2,FALSE()),"⚠查無此員編"))</f>
        <v/>
      </c>
      <c r="C182" s="64"/>
      <c r="D182" s="64"/>
      <c r="E182" s="59"/>
      <c r="F182" s="64"/>
      <c r="G182" s="64"/>
      <c r="H182" s="64"/>
      <c r="I182" s="65"/>
    </row>
    <row r="183" customFormat="false" ht="15" hidden="false" customHeight="false" outlineLevel="0" collapsed="false">
      <c r="A183" s="56"/>
      <c r="B183" s="63" t="str">
        <f aca="false">IF($A183="","",IFERROR(VLOOKUP($A183,員工清單!$A$4:$B$53,2,FALSE()),"⚠查無此員編"))</f>
        <v/>
      </c>
      <c r="C183" s="64"/>
      <c r="D183" s="64"/>
      <c r="E183" s="59"/>
      <c r="F183" s="64"/>
      <c r="G183" s="64"/>
      <c r="H183" s="64"/>
      <c r="I183" s="65"/>
    </row>
    <row r="184" customFormat="false" ht="15" hidden="false" customHeight="false" outlineLevel="0" collapsed="false">
      <c r="A184" s="56"/>
      <c r="B184" s="63" t="str">
        <f aca="false">IF($A184="","",IFERROR(VLOOKUP($A184,員工清單!$A$4:$B$53,2,FALSE()),"⚠查無此員編"))</f>
        <v/>
      </c>
      <c r="C184" s="64"/>
      <c r="D184" s="64"/>
      <c r="E184" s="59"/>
      <c r="F184" s="64"/>
      <c r="G184" s="64"/>
      <c r="H184" s="64"/>
      <c r="I184" s="65"/>
    </row>
    <row r="185" customFormat="false" ht="15" hidden="false" customHeight="false" outlineLevel="0" collapsed="false">
      <c r="A185" s="56"/>
      <c r="B185" s="63" t="str">
        <f aca="false">IF($A185="","",IFERROR(VLOOKUP($A185,員工清單!$A$4:$B$53,2,FALSE()),"⚠查無此員編"))</f>
        <v/>
      </c>
      <c r="C185" s="64"/>
      <c r="D185" s="64"/>
      <c r="E185" s="59"/>
      <c r="F185" s="64"/>
      <c r="G185" s="64"/>
      <c r="H185" s="64"/>
      <c r="I185" s="65"/>
    </row>
    <row r="186" customFormat="false" ht="15" hidden="false" customHeight="false" outlineLevel="0" collapsed="false">
      <c r="A186" s="56"/>
      <c r="B186" s="63" t="str">
        <f aca="false">IF($A186="","",IFERROR(VLOOKUP($A186,員工清單!$A$4:$B$53,2,FALSE()),"⚠查無此員編"))</f>
        <v/>
      </c>
      <c r="C186" s="64"/>
      <c r="D186" s="64"/>
      <c r="E186" s="59"/>
      <c r="F186" s="64"/>
      <c r="G186" s="64"/>
      <c r="H186" s="64"/>
      <c r="I186" s="65"/>
    </row>
    <row r="187" customFormat="false" ht="15" hidden="false" customHeight="false" outlineLevel="0" collapsed="false">
      <c r="A187" s="56"/>
      <c r="B187" s="63" t="str">
        <f aca="false">IF($A187="","",IFERROR(VLOOKUP($A187,員工清單!$A$4:$B$53,2,FALSE()),"⚠查無此員編"))</f>
        <v/>
      </c>
      <c r="C187" s="64"/>
      <c r="D187" s="64"/>
      <c r="E187" s="59"/>
      <c r="F187" s="64"/>
      <c r="G187" s="64"/>
      <c r="H187" s="64"/>
      <c r="I187" s="65"/>
    </row>
    <row r="188" customFormat="false" ht="15" hidden="false" customHeight="false" outlineLevel="0" collapsed="false">
      <c r="A188" s="56"/>
      <c r="B188" s="63" t="str">
        <f aca="false">IF($A188="","",IFERROR(VLOOKUP($A188,員工清單!$A$4:$B$53,2,FALSE()),"⚠查無此員編"))</f>
        <v/>
      </c>
      <c r="C188" s="64"/>
      <c r="D188" s="64"/>
      <c r="E188" s="59"/>
      <c r="F188" s="64"/>
      <c r="G188" s="64"/>
      <c r="H188" s="64"/>
      <c r="I188" s="65"/>
    </row>
    <row r="189" customFormat="false" ht="15" hidden="false" customHeight="false" outlineLevel="0" collapsed="false">
      <c r="A189" s="56"/>
      <c r="B189" s="63" t="str">
        <f aca="false">IF($A189="","",IFERROR(VLOOKUP($A189,員工清單!$A$4:$B$53,2,FALSE()),"⚠查無此員編"))</f>
        <v/>
      </c>
      <c r="C189" s="64"/>
      <c r="D189" s="64"/>
      <c r="E189" s="59"/>
      <c r="F189" s="64"/>
      <c r="G189" s="64"/>
      <c r="H189" s="64"/>
      <c r="I189" s="65"/>
    </row>
    <row r="190" customFormat="false" ht="15" hidden="false" customHeight="false" outlineLevel="0" collapsed="false">
      <c r="A190" s="56"/>
      <c r="B190" s="63" t="str">
        <f aca="false">IF($A190="","",IFERROR(VLOOKUP($A190,員工清單!$A$4:$B$53,2,FALSE()),"⚠查無此員編"))</f>
        <v/>
      </c>
      <c r="C190" s="64"/>
      <c r="D190" s="64"/>
      <c r="E190" s="59"/>
      <c r="F190" s="64"/>
      <c r="G190" s="64"/>
      <c r="H190" s="64"/>
      <c r="I190" s="65"/>
    </row>
    <row r="191" customFormat="false" ht="15" hidden="false" customHeight="false" outlineLevel="0" collapsed="false">
      <c r="A191" s="56"/>
      <c r="B191" s="63" t="str">
        <f aca="false">IF($A191="","",IFERROR(VLOOKUP($A191,員工清單!$A$4:$B$53,2,FALSE()),"⚠查無此員編"))</f>
        <v/>
      </c>
      <c r="C191" s="64"/>
      <c r="D191" s="64"/>
      <c r="E191" s="59"/>
      <c r="F191" s="64"/>
      <c r="G191" s="64"/>
      <c r="H191" s="64"/>
      <c r="I191" s="65"/>
    </row>
    <row r="192" customFormat="false" ht="15" hidden="false" customHeight="false" outlineLevel="0" collapsed="false">
      <c r="A192" s="56"/>
      <c r="B192" s="63" t="str">
        <f aca="false">IF($A192="","",IFERROR(VLOOKUP($A192,員工清單!$A$4:$B$53,2,FALSE()),"⚠查無此員編"))</f>
        <v/>
      </c>
      <c r="C192" s="64"/>
      <c r="D192" s="64"/>
      <c r="E192" s="59"/>
      <c r="F192" s="64"/>
      <c r="G192" s="64"/>
      <c r="H192" s="64"/>
      <c r="I192" s="65"/>
    </row>
    <row r="193" customFormat="false" ht="15" hidden="false" customHeight="false" outlineLevel="0" collapsed="false">
      <c r="A193" s="56"/>
      <c r="B193" s="63" t="str">
        <f aca="false">IF($A193="","",IFERROR(VLOOKUP($A193,員工清單!$A$4:$B$53,2,FALSE()),"⚠查無此員編"))</f>
        <v/>
      </c>
      <c r="C193" s="64"/>
      <c r="D193" s="64"/>
      <c r="E193" s="59"/>
      <c r="F193" s="64"/>
      <c r="G193" s="64"/>
      <c r="H193" s="64"/>
      <c r="I193" s="65"/>
    </row>
    <row r="194" customFormat="false" ht="15" hidden="false" customHeight="false" outlineLevel="0" collapsed="false">
      <c r="A194" s="56"/>
      <c r="B194" s="63" t="str">
        <f aca="false">IF($A194="","",IFERROR(VLOOKUP($A194,員工清單!$A$4:$B$53,2,FALSE()),"⚠查無此員編"))</f>
        <v/>
      </c>
      <c r="C194" s="64"/>
      <c r="D194" s="64"/>
      <c r="E194" s="59"/>
      <c r="F194" s="64"/>
      <c r="G194" s="64"/>
      <c r="H194" s="64"/>
      <c r="I194" s="65"/>
    </row>
    <row r="195" customFormat="false" ht="15" hidden="false" customHeight="false" outlineLevel="0" collapsed="false">
      <c r="A195" s="56"/>
      <c r="B195" s="63" t="str">
        <f aca="false">IF($A195="","",IFERROR(VLOOKUP($A195,員工清單!$A$4:$B$53,2,FALSE()),"⚠查無此員編"))</f>
        <v/>
      </c>
      <c r="C195" s="64"/>
      <c r="D195" s="64"/>
      <c r="E195" s="59"/>
      <c r="F195" s="64"/>
      <c r="G195" s="64"/>
      <c r="H195" s="64"/>
      <c r="I195" s="65"/>
    </row>
    <row r="196" customFormat="false" ht="15" hidden="false" customHeight="false" outlineLevel="0" collapsed="false">
      <c r="A196" s="56"/>
      <c r="B196" s="63" t="str">
        <f aca="false">IF($A196="","",IFERROR(VLOOKUP($A196,員工清單!$A$4:$B$53,2,FALSE()),"⚠查無此員編"))</f>
        <v/>
      </c>
      <c r="C196" s="64"/>
      <c r="D196" s="64"/>
      <c r="E196" s="59"/>
      <c r="F196" s="64"/>
      <c r="G196" s="64"/>
      <c r="H196" s="64"/>
      <c r="I196" s="65"/>
    </row>
    <row r="197" customFormat="false" ht="15" hidden="false" customHeight="false" outlineLevel="0" collapsed="false">
      <c r="A197" s="56"/>
      <c r="B197" s="63" t="str">
        <f aca="false">IF($A197="","",IFERROR(VLOOKUP($A197,員工清單!$A$4:$B$53,2,FALSE()),"⚠查無此員編"))</f>
        <v/>
      </c>
      <c r="C197" s="64"/>
      <c r="D197" s="64"/>
      <c r="E197" s="59"/>
      <c r="F197" s="64"/>
      <c r="G197" s="64"/>
      <c r="H197" s="64"/>
      <c r="I197" s="65"/>
    </row>
    <row r="198" customFormat="false" ht="15" hidden="false" customHeight="false" outlineLevel="0" collapsed="false">
      <c r="A198" s="56"/>
      <c r="B198" s="63" t="str">
        <f aca="false">IF($A198="","",IFERROR(VLOOKUP($A198,員工清單!$A$4:$B$53,2,FALSE()),"⚠查無此員編"))</f>
        <v/>
      </c>
      <c r="C198" s="64"/>
      <c r="D198" s="64"/>
      <c r="E198" s="59"/>
      <c r="F198" s="64"/>
      <c r="G198" s="64"/>
      <c r="H198" s="64"/>
      <c r="I198" s="65"/>
    </row>
    <row r="199" customFormat="false" ht="15" hidden="false" customHeight="false" outlineLevel="0" collapsed="false">
      <c r="A199" s="56"/>
      <c r="B199" s="63" t="str">
        <f aca="false">IF($A199="","",IFERROR(VLOOKUP($A199,員工清單!$A$4:$B$53,2,FALSE()),"⚠查無此員編"))</f>
        <v/>
      </c>
      <c r="C199" s="64"/>
      <c r="D199" s="64"/>
      <c r="E199" s="59"/>
      <c r="F199" s="64"/>
      <c r="G199" s="64"/>
      <c r="H199" s="64"/>
      <c r="I199" s="65"/>
    </row>
    <row r="200" customFormat="false" ht="15" hidden="false" customHeight="false" outlineLevel="0" collapsed="false">
      <c r="A200" s="56"/>
      <c r="B200" s="63" t="str">
        <f aca="false">IF($A200="","",IFERROR(VLOOKUP($A200,員工清單!$A$4:$B$53,2,FALSE()),"⚠查無此員編"))</f>
        <v/>
      </c>
      <c r="C200" s="64"/>
      <c r="D200" s="64"/>
      <c r="E200" s="59"/>
      <c r="F200" s="64"/>
      <c r="G200" s="64"/>
      <c r="H200" s="64"/>
      <c r="I200" s="65"/>
    </row>
    <row r="201" customFormat="false" ht="15" hidden="false" customHeight="false" outlineLevel="0" collapsed="false">
      <c r="A201" s="56"/>
      <c r="B201" s="63" t="str">
        <f aca="false">IF($A201="","",IFERROR(VLOOKUP($A201,員工清單!$A$4:$B$53,2,FALSE()),"⚠查無此員編"))</f>
        <v/>
      </c>
      <c r="C201" s="64"/>
      <c r="D201" s="64"/>
      <c r="E201" s="59"/>
      <c r="F201" s="64"/>
      <c r="G201" s="64"/>
      <c r="H201" s="64"/>
      <c r="I201" s="65"/>
    </row>
    <row r="202" customFormat="false" ht="15" hidden="false" customHeight="false" outlineLevel="0" collapsed="false">
      <c r="A202" s="56"/>
      <c r="B202" s="63" t="str">
        <f aca="false">IF($A202="","",IFERROR(VLOOKUP($A202,員工清單!$A$4:$B$53,2,FALSE()),"⚠查無此員編"))</f>
        <v/>
      </c>
      <c r="C202" s="64"/>
      <c r="D202" s="64"/>
      <c r="E202" s="59"/>
      <c r="F202" s="64"/>
      <c r="G202" s="64"/>
      <c r="H202" s="64"/>
      <c r="I202" s="65"/>
    </row>
    <row r="203" customFormat="false" ht="15" hidden="false" customHeight="false" outlineLevel="0" collapsed="false">
      <c r="A203" s="56"/>
      <c r="B203" s="63" t="str">
        <f aca="false">IF($A203="","",IFERROR(VLOOKUP($A203,員工清單!$A$4:$B$53,2,FALSE()),"⚠查無此員編"))</f>
        <v/>
      </c>
      <c r="C203" s="64"/>
      <c r="D203" s="64"/>
      <c r="E203" s="59"/>
      <c r="F203" s="64"/>
      <c r="G203" s="64"/>
      <c r="H203" s="64"/>
      <c r="I203" s="65"/>
    </row>
  </sheetData>
  <mergeCells count="2">
    <mergeCell ref="A1:I1"/>
    <mergeCell ref="A2:I2"/>
  </mergeCells>
  <conditionalFormatting sqref="A4:I203">
    <cfRule type="expression" priority="2" aboveAverage="0" equalAverage="0" bottom="0" percent="0" rank="0" text="" dxfId="0">
      <formula>LEFT($B4,1)="⚠"</formula>
    </cfRule>
  </conditionalFormatting>
  <dataValidations count="4">
    <dataValidation allowBlank="true" errorStyle="stop" operator="between" showDropDown="false" showErrorMessage="false" showInputMessage="false" sqref="A4:A203" type="list">
      <formula1>員工清單!$A$4:$A$53</formula1>
      <formula2>0</formula2>
    </dataValidation>
    <dataValidation allowBlank="true" errorStyle="stop" operator="between" showDropDown="false" showErrorMessage="false" showInputMessage="false" sqref="D4:D203" type="list">
      <formula1>"配偶,子女,父母,祖父母,兄弟姊妹,其他"</formula1>
      <formula2>0</formula2>
    </dataValidation>
    <dataValidation allowBlank="true" errorStyle="stop" operator="between" showDropDown="false" showErrorMessage="false" showInputMessage="false" sqref="G4:G203" type="list">
      <formula1>"是,否"</formula1>
      <formula2>0</formula2>
    </dataValidation>
    <dataValidation allowBlank="true" errorStyle="stop" operator="between" showDropDown="false" showErrorMessage="false" showInputMessage="false" sqref="H4:H203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L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1"/>
    <col collapsed="false" customWidth="true" hidden="false" outlineLevel="0" max="5" min="4" style="1" width="10"/>
    <col collapsed="false" customWidth="true" hidden="false" outlineLevel="0" max="6" min="6" style="1" width="11"/>
    <col collapsed="false" customWidth="true" hidden="false" outlineLevel="0" max="9" min="7" style="1" width="10"/>
    <col collapsed="false" customWidth="true" hidden="false" outlineLevel="0" max="10" min="10" style="1" width="11"/>
    <col collapsed="false" customWidth="true" hidden="false" outlineLevel="0" max="11" min="11" style="1" width="13"/>
    <col collapsed="false" customWidth="true" hidden="false" outlineLevel="0" max="12" min="12" style="1" width="15"/>
  </cols>
  <sheetData>
    <row r="1" customFormat="false" ht="25.5" hidden="false" customHeight="true" outlineLevel="0" collapsed="false">
      <c r="A1" s="12" t="s">
        <v>546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25.5" hidden="false" customHeight="true" outlineLevel="0" collapsed="false">
      <c r="A2" s="13" t="s">
        <v>547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customFormat="false" ht="33.75" hidden="false" customHeight="true" outlineLevel="0" collapsed="false">
      <c r="A3" s="62" t="s">
        <v>59</v>
      </c>
      <c r="B3" s="62" t="s">
        <v>63</v>
      </c>
      <c r="C3" s="61" t="s">
        <v>548</v>
      </c>
      <c r="D3" s="61" t="s">
        <v>549</v>
      </c>
      <c r="E3" s="61" t="s">
        <v>550</v>
      </c>
      <c r="F3" s="61" t="s">
        <v>551</v>
      </c>
      <c r="G3" s="61" t="s">
        <v>552</v>
      </c>
      <c r="H3" s="61" t="s">
        <v>553</v>
      </c>
      <c r="I3" s="61" t="s">
        <v>554</v>
      </c>
      <c r="J3" s="61" t="s">
        <v>555</v>
      </c>
      <c r="K3" s="62" t="s">
        <v>556</v>
      </c>
      <c r="L3" s="62" t="s">
        <v>557</v>
      </c>
    </row>
    <row r="4" customFormat="false" ht="15" hidden="false" customHeight="true" outlineLevel="0" collapsed="false">
      <c r="A4" s="63" t="str">
        <f aca="false">IF(員工清單!A4="","",員工清單!A4)</f>
        <v>E001</v>
      </c>
      <c r="B4" s="63" t="str">
        <f aca="false">IF($A4="","",員工清單!B4)</f>
        <v>王小明</v>
      </c>
      <c r="C4" s="33" t="n">
        <v>54000</v>
      </c>
      <c r="D4" s="33"/>
      <c r="E4" s="33" t="n">
        <v>3000</v>
      </c>
      <c r="F4" s="33" t="n">
        <v>3000</v>
      </c>
      <c r="G4" s="33" t="n">
        <v>3000</v>
      </c>
      <c r="H4" s="33"/>
      <c r="I4" s="33" t="n">
        <v>2000</v>
      </c>
      <c r="J4" s="33"/>
      <c r="K4" s="48" t="n">
        <f aca="false">IF($A4="","",SUM(C4:J4))</f>
        <v>65000</v>
      </c>
      <c r="L4" s="63" t="str">
        <f aca="false">IF($A4="","",IF($K4&gt;=參數設定!$C$4,"✓","⚠ 低於最低工資"))</f>
        <v>✓</v>
      </c>
    </row>
    <row r="5" customFormat="false" ht="15" hidden="false" customHeight="true" outlineLevel="0" collapsed="false">
      <c r="A5" s="63" t="str">
        <f aca="false">IF(員工清單!A5="","",員工清單!A5)</f>
        <v>E002</v>
      </c>
      <c r="B5" s="63" t="str">
        <f aca="false">IF($A5="","",員工清單!B5)</f>
        <v>李美華</v>
      </c>
      <c r="C5" s="33" t="n">
        <v>31000</v>
      </c>
      <c r="D5" s="33"/>
      <c r="E5" s="33"/>
      <c r="F5" s="33"/>
      <c r="G5" s="33" t="n">
        <v>3000</v>
      </c>
      <c r="H5" s="33"/>
      <c r="I5" s="33" t="n">
        <v>2000</v>
      </c>
      <c r="J5" s="33"/>
      <c r="K5" s="48" t="n">
        <f aca="false">IF($A5="","",SUM(C5:J5))</f>
        <v>36000</v>
      </c>
      <c r="L5" s="63" t="str">
        <f aca="false">IF($A5="","",IF($K5&gt;=參數設定!$C$4,"✓","⚠ 低於最低工資"))</f>
        <v>✓</v>
      </c>
    </row>
    <row r="6" customFormat="false" ht="15" hidden="false" customHeight="true" outlineLevel="0" collapsed="false">
      <c r="A6" s="63" t="str">
        <f aca="false">IF(員工清單!A6="","",員工清單!A6)</f>
        <v>E003</v>
      </c>
      <c r="B6" s="63" t="str">
        <f aca="false">IF($A6="","",員工清單!B6)</f>
        <v>張志豪</v>
      </c>
      <c r="C6" s="33" t="n">
        <v>65000</v>
      </c>
      <c r="D6" s="33" t="n">
        <v>10000</v>
      </c>
      <c r="E6" s="33" t="n">
        <v>5000</v>
      </c>
      <c r="F6" s="33"/>
      <c r="G6" s="33" t="n">
        <v>3000</v>
      </c>
      <c r="H6" s="33" t="n">
        <v>2000</v>
      </c>
      <c r="I6" s="33"/>
      <c r="J6" s="33"/>
      <c r="K6" s="48" t="n">
        <f aca="false">IF($A6="","",SUM(C6:J6))</f>
        <v>85000</v>
      </c>
      <c r="L6" s="63" t="str">
        <f aca="false">IF($A6="","",IF($K6&gt;=參數設定!$C$4,"✓","⚠ 低於最低工資"))</f>
        <v>✓</v>
      </c>
    </row>
    <row r="7" customFormat="false" ht="15" hidden="false" customHeight="true" outlineLevel="0" collapsed="false">
      <c r="A7" s="63" t="str">
        <f aca="false">IF(員工清單!A7="","",員工清單!A7)</f>
        <v>E004</v>
      </c>
      <c r="B7" s="63" t="str">
        <f aca="false">IF($A7="","",員工清單!B7)</f>
        <v>陳雅婷</v>
      </c>
      <c r="C7" s="33" t="n">
        <v>34000</v>
      </c>
      <c r="D7" s="33"/>
      <c r="E7" s="33" t="n">
        <v>3000</v>
      </c>
      <c r="F7" s="33"/>
      <c r="G7" s="33" t="n">
        <v>3000</v>
      </c>
      <c r="H7" s="33"/>
      <c r="I7" s="33" t="n">
        <v>2000</v>
      </c>
      <c r="J7" s="33"/>
      <c r="K7" s="48" t="n">
        <f aca="false">IF($A7="","",SUM(C7:J7))</f>
        <v>42000</v>
      </c>
      <c r="L7" s="63" t="str">
        <f aca="false">IF($A7="","",IF($K7&gt;=參數設定!$C$4,"✓","⚠ 低於最低工資"))</f>
        <v>✓</v>
      </c>
    </row>
    <row r="8" customFormat="false" ht="15" hidden="false" customHeight="true" outlineLevel="0" collapsed="false">
      <c r="A8" s="63" t="str">
        <f aca="false">IF(員工清單!A8="","",員工清單!A8)</f>
        <v>E005</v>
      </c>
      <c r="B8" s="63" t="str">
        <f aca="false">IF($A8="","",員工清單!B8)</f>
        <v>林承翰</v>
      </c>
      <c r="C8" s="33" t="n">
        <v>64000</v>
      </c>
      <c r="D8" s="33"/>
      <c r="E8" s="33" t="n">
        <v>3000</v>
      </c>
      <c r="F8" s="33" t="n">
        <v>6000</v>
      </c>
      <c r="G8" s="33" t="n">
        <v>3000</v>
      </c>
      <c r="H8" s="33"/>
      <c r="I8" s="33" t="n">
        <v>2000</v>
      </c>
      <c r="J8" s="33"/>
      <c r="K8" s="48" t="n">
        <f aca="false">IF($A8="","",SUM(C8:J8))</f>
        <v>78000</v>
      </c>
      <c r="L8" s="63" t="str">
        <f aca="false">IF($A8="","",IF($K8&gt;=參數設定!$C$4,"✓","⚠ 低於最低工資"))</f>
        <v>✓</v>
      </c>
    </row>
    <row r="9" customFormat="false" ht="15" hidden="false" customHeight="true" outlineLevel="0" collapsed="false">
      <c r="A9" s="63" t="str">
        <f aca="false">IF(員工清單!A9="","",員工清單!A9)</f>
        <v>E006</v>
      </c>
      <c r="B9" s="63" t="str">
        <f aca="false">IF($A9="","",員工清單!B9)</f>
        <v>黃詩涵</v>
      </c>
      <c r="C9" s="33" t="n">
        <v>28000</v>
      </c>
      <c r="D9" s="33"/>
      <c r="E9" s="33"/>
      <c r="F9" s="33"/>
      <c r="G9" s="33" t="n">
        <v>3000</v>
      </c>
      <c r="H9" s="33"/>
      <c r="I9" s="33" t="n">
        <v>2000</v>
      </c>
      <c r="J9" s="33"/>
      <c r="K9" s="48" t="n">
        <f aca="false">IF($A9="","",SUM(C9:J9))</f>
        <v>33000</v>
      </c>
      <c r="L9" s="63" t="str">
        <f aca="false">IF($A9="","",IF($K9&gt;=參數設定!$C$4,"✓","⚠ 低於最低工資"))</f>
        <v>✓</v>
      </c>
    </row>
    <row r="10" customFormat="false" ht="15" hidden="false" customHeight="true" outlineLevel="0" collapsed="false">
      <c r="A10" s="63" t="str">
        <f aca="false">IF(員工清單!A10="","",員工清單!A10)</f>
        <v>E007</v>
      </c>
      <c r="B10" s="63" t="str">
        <f aca="false">IF($A10="","",員工清單!B10)</f>
        <v>吳建宏</v>
      </c>
      <c r="C10" s="33" t="n">
        <v>24500</v>
      </c>
      <c r="D10" s="33"/>
      <c r="E10" s="33"/>
      <c r="F10" s="33"/>
      <c r="G10" s="33" t="n">
        <v>3000</v>
      </c>
      <c r="H10" s="33"/>
      <c r="I10" s="33" t="n">
        <v>2000</v>
      </c>
      <c r="J10" s="33"/>
      <c r="K10" s="48" t="n">
        <f aca="false">IF($A10="","",SUM(C10:J10))</f>
        <v>29500</v>
      </c>
      <c r="L10" s="63" t="str">
        <f aca="false">IF($A10="","",IF($K10&gt;=參數設定!$C$4,"✓","⚠ 低於最低工資"))</f>
        <v>✓</v>
      </c>
    </row>
    <row r="11" customFormat="false" ht="15" hidden="false" customHeight="true" outlineLevel="0" collapsed="false">
      <c r="A11" s="63" t="str">
        <f aca="false">IF(員工清單!A11="","",員工清單!A11)</f>
        <v>E008</v>
      </c>
      <c r="B11" s="63" t="str">
        <f aca="false">IF($A11="","",員工清單!B11)</f>
        <v>蔡佩珊</v>
      </c>
      <c r="C11" s="33" t="n">
        <v>135000</v>
      </c>
      <c r="D11" s="33" t="n">
        <v>15000</v>
      </c>
      <c r="E11" s="33" t="n">
        <v>5000</v>
      </c>
      <c r="F11" s="33"/>
      <c r="G11" s="33" t="n">
        <v>3000</v>
      </c>
      <c r="H11" s="33" t="n">
        <v>2000</v>
      </c>
      <c r="I11" s="33"/>
      <c r="J11" s="33"/>
      <c r="K11" s="48" t="n">
        <f aca="false">IF($A11="","",SUM(C11:J11))</f>
        <v>160000</v>
      </c>
      <c r="L11" s="63" t="str">
        <f aca="false">IF($A11="","",IF($K11&gt;=參數設定!$C$4,"✓","⚠ 低於最低工資"))</f>
        <v>✓</v>
      </c>
    </row>
    <row r="12" customFormat="false" ht="15" hidden="false" customHeight="true" outlineLevel="0" collapsed="false">
      <c r="A12" s="63" t="str">
        <f aca="false">IF(員工清單!A12="","",員工清單!A12)</f>
        <v/>
      </c>
      <c r="B12" s="63" t="str">
        <f aca="false">IF($A12="","",員工清單!B12)</f>
        <v/>
      </c>
      <c r="C12" s="33"/>
      <c r="D12" s="33"/>
      <c r="E12" s="33"/>
      <c r="F12" s="33"/>
      <c r="G12" s="33"/>
      <c r="H12" s="33"/>
      <c r="I12" s="33"/>
      <c r="J12" s="33"/>
      <c r="K12" s="48" t="str">
        <f aca="false">IF($A12="","",SUM(C12:J12))</f>
        <v/>
      </c>
      <c r="L12" s="63" t="str">
        <f aca="false">IF($A12="","",IF($K12&gt;=參數設定!$C$4,"✓","⚠ 低於最低工資"))</f>
        <v/>
      </c>
    </row>
    <row r="13" customFormat="false" ht="15" hidden="false" customHeight="true" outlineLevel="0" collapsed="false">
      <c r="A13" s="63" t="str">
        <f aca="false">IF(員工清單!A13="","",員工清單!A13)</f>
        <v/>
      </c>
      <c r="B13" s="63" t="str">
        <f aca="false">IF($A13="","",員工清單!B13)</f>
        <v/>
      </c>
      <c r="C13" s="33"/>
      <c r="D13" s="33"/>
      <c r="E13" s="33"/>
      <c r="F13" s="33"/>
      <c r="G13" s="33"/>
      <c r="H13" s="33"/>
      <c r="I13" s="33"/>
      <c r="J13" s="33"/>
      <c r="K13" s="48" t="str">
        <f aca="false">IF($A13="","",SUM(C13:J13))</f>
        <v/>
      </c>
      <c r="L13" s="63" t="str">
        <f aca="false">IF($A13="","",IF($K13&gt;=參數設定!$C$4,"✓","⚠ 低於最低工資"))</f>
        <v/>
      </c>
    </row>
    <row r="14" customFormat="false" ht="15" hidden="false" customHeight="true" outlineLevel="0" collapsed="false">
      <c r="A14" s="63" t="str">
        <f aca="false">IF(員工清單!A14="","",員工清單!A14)</f>
        <v/>
      </c>
      <c r="B14" s="63" t="str">
        <f aca="false">IF($A14="","",員工清單!B14)</f>
        <v/>
      </c>
      <c r="C14" s="33"/>
      <c r="D14" s="33"/>
      <c r="E14" s="33"/>
      <c r="F14" s="33"/>
      <c r="G14" s="33"/>
      <c r="H14" s="33"/>
      <c r="I14" s="33"/>
      <c r="J14" s="33"/>
      <c r="K14" s="48" t="str">
        <f aca="false">IF($A14="","",SUM(C14:J14))</f>
        <v/>
      </c>
      <c r="L14" s="63" t="str">
        <f aca="false">IF($A14="","",IF($K14&gt;=參數設定!$C$4,"✓","⚠ 低於最低工資"))</f>
        <v/>
      </c>
    </row>
    <row r="15" customFormat="false" ht="15" hidden="false" customHeight="true" outlineLevel="0" collapsed="false">
      <c r="A15" s="63" t="str">
        <f aca="false">IF(員工清單!A15="","",員工清單!A15)</f>
        <v/>
      </c>
      <c r="B15" s="63" t="str">
        <f aca="false">IF($A15="","",員工清單!B15)</f>
        <v/>
      </c>
      <c r="C15" s="33"/>
      <c r="D15" s="33"/>
      <c r="E15" s="33"/>
      <c r="F15" s="33"/>
      <c r="G15" s="33"/>
      <c r="H15" s="33"/>
      <c r="I15" s="33"/>
      <c r="J15" s="33"/>
      <c r="K15" s="48" t="str">
        <f aca="false">IF($A15="","",SUM(C15:J15))</f>
        <v/>
      </c>
      <c r="L15" s="63" t="str">
        <f aca="false">IF($A15="","",IF($K15&gt;=參數設定!$C$4,"✓","⚠ 低於最低工資"))</f>
        <v/>
      </c>
    </row>
    <row r="16" customFormat="false" ht="15" hidden="false" customHeight="true" outlineLevel="0" collapsed="false">
      <c r="A16" s="63" t="str">
        <f aca="false">IF(員工清單!A16="","",員工清單!A16)</f>
        <v/>
      </c>
      <c r="B16" s="63" t="str">
        <f aca="false">IF($A16="","",員工清單!B16)</f>
        <v/>
      </c>
      <c r="C16" s="33"/>
      <c r="D16" s="33"/>
      <c r="E16" s="33"/>
      <c r="F16" s="33"/>
      <c r="G16" s="33"/>
      <c r="H16" s="33"/>
      <c r="I16" s="33"/>
      <c r="J16" s="33"/>
      <c r="K16" s="48" t="str">
        <f aca="false">IF($A16="","",SUM(C16:J16))</f>
        <v/>
      </c>
      <c r="L16" s="63" t="str">
        <f aca="false">IF($A16="","",IF($K16&gt;=參數設定!$C$4,"✓","⚠ 低於最低工資"))</f>
        <v/>
      </c>
    </row>
    <row r="17" customFormat="false" ht="15" hidden="false" customHeight="true" outlineLevel="0" collapsed="false">
      <c r="A17" s="63" t="str">
        <f aca="false">IF(員工清單!A17="","",員工清單!A17)</f>
        <v/>
      </c>
      <c r="B17" s="63" t="str">
        <f aca="false">IF($A17="","",員工清單!B17)</f>
        <v/>
      </c>
      <c r="C17" s="33"/>
      <c r="D17" s="33"/>
      <c r="E17" s="33"/>
      <c r="F17" s="33"/>
      <c r="G17" s="33"/>
      <c r="H17" s="33"/>
      <c r="I17" s="33"/>
      <c r="J17" s="33"/>
      <c r="K17" s="48" t="str">
        <f aca="false">IF($A17="","",SUM(C17:J17))</f>
        <v/>
      </c>
      <c r="L17" s="63" t="str">
        <f aca="false">IF($A17="","",IF($K17&gt;=參數設定!$C$4,"✓","⚠ 低於最低工資"))</f>
        <v/>
      </c>
    </row>
    <row r="18" customFormat="false" ht="15" hidden="false" customHeight="true" outlineLevel="0" collapsed="false">
      <c r="A18" s="63" t="str">
        <f aca="false">IF(員工清單!A18="","",員工清單!A18)</f>
        <v/>
      </c>
      <c r="B18" s="63" t="str">
        <f aca="false">IF($A18="","",員工清單!B18)</f>
        <v/>
      </c>
      <c r="C18" s="33"/>
      <c r="D18" s="33"/>
      <c r="E18" s="33"/>
      <c r="F18" s="33"/>
      <c r="G18" s="33"/>
      <c r="H18" s="33"/>
      <c r="I18" s="33"/>
      <c r="J18" s="33"/>
      <c r="K18" s="48" t="str">
        <f aca="false">IF($A18="","",SUM(C18:J18))</f>
        <v/>
      </c>
      <c r="L18" s="63" t="str">
        <f aca="false">IF($A18="","",IF($K18&gt;=參數設定!$C$4,"✓","⚠ 低於最低工資"))</f>
        <v/>
      </c>
    </row>
    <row r="19" customFormat="false" ht="15" hidden="false" customHeight="true" outlineLevel="0" collapsed="false">
      <c r="A19" s="63" t="str">
        <f aca="false">IF(員工清單!A19="","",員工清單!A19)</f>
        <v/>
      </c>
      <c r="B19" s="63" t="str">
        <f aca="false">IF($A19="","",員工清單!B19)</f>
        <v/>
      </c>
      <c r="C19" s="33"/>
      <c r="D19" s="33"/>
      <c r="E19" s="33"/>
      <c r="F19" s="33"/>
      <c r="G19" s="33"/>
      <c r="H19" s="33"/>
      <c r="I19" s="33"/>
      <c r="J19" s="33"/>
      <c r="K19" s="48" t="str">
        <f aca="false">IF($A19="","",SUM(C19:J19))</f>
        <v/>
      </c>
      <c r="L19" s="63" t="str">
        <f aca="false">IF($A19="","",IF($K19&gt;=參數設定!$C$4,"✓","⚠ 低於最低工資"))</f>
        <v/>
      </c>
    </row>
    <row r="20" customFormat="false" ht="15" hidden="false" customHeight="true" outlineLevel="0" collapsed="false">
      <c r="A20" s="63" t="str">
        <f aca="false">IF(員工清單!A20="","",員工清單!A20)</f>
        <v/>
      </c>
      <c r="B20" s="63" t="str">
        <f aca="false">IF($A20="","",員工清單!B20)</f>
        <v/>
      </c>
      <c r="C20" s="33"/>
      <c r="D20" s="33"/>
      <c r="E20" s="33"/>
      <c r="F20" s="33"/>
      <c r="G20" s="33"/>
      <c r="H20" s="33"/>
      <c r="I20" s="33"/>
      <c r="J20" s="33"/>
      <c r="K20" s="48" t="str">
        <f aca="false">IF($A20="","",SUM(C20:J20))</f>
        <v/>
      </c>
      <c r="L20" s="63" t="str">
        <f aca="false">IF($A20="","",IF($K20&gt;=參數設定!$C$4,"✓","⚠ 低於最低工資"))</f>
        <v/>
      </c>
    </row>
    <row r="21" customFormat="false" ht="15" hidden="false" customHeight="true" outlineLevel="0" collapsed="false">
      <c r="A21" s="63" t="str">
        <f aca="false">IF(員工清單!A21="","",員工清單!A21)</f>
        <v/>
      </c>
      <c r="B21" s="63" t="str">
        <f aca="false">IF($A21="","",員工清單!B21)</f>
        <v/>
      </c>
      <c r="C21" s="33"/>
      <c r="D21" s="33"/>
      <c r="E21" s="33"/>
      <c r="F21" s="33"/>
      <c r="G21" s="33"/>
      <c r="H21" s="33"/>
      <c r="I21" s="33"/>
      <c r="J21" s="33"/>
      <c r="K21" s="48" t="str">
        <f aca="false">IF($A21="","",SUM(C21:J21))</f>
        <v/>
      </c>
      <c r="L21" s="63" t="str">
        <f aca="false">IF($A21="","",IF($K21&gt;=參數設定!$C$4,"✓","⚠ 低於最低工資"))</f>
        <v/>
      </c>
    </row>
    <row r="22" customFormat="false" ht="15" hidden="false" customHeight="true" outlineLevel="0" collapsed="false">
      <c r="A22" s="63" t="str">
        <f aca="false">IF(員工清單!A22="","",員工清單!A22)</f>
        <v/>
      </c>
      <c r="B22" s="63" t="str">
        <f aca="false">IF($A22="","",員工清單!B22)</f>
        <v/>
      </c>
      <c r="C22" s="33"/>
      <c r="D22" s="33"/>
      <c r="E22" s="33"/>
      <c r="F22" s="33"/>
      <c r="G22" s="33"/>
      <c r="H22" s="33"/>
      <c r="I22" s="33"/>
      <c r="J22" s="33"/>
      <c r="K22" s="48" t="str">
        <f aca="false">IF($A22="","",SUM(C22:J22))</f>
        <v/>
      </c>
      <c r="L22" s="63" t="str">
        <f aca="false">IF($A22="","",IF($K22&gt;=參數設定!$C$4,"✓","⚠ 低於最低工資"))</f>
        <v/>
      </c>
    </row>
    <row r="23" customFormat="false" ht="15" hidden="false" customHeight="true" outlineLevel="0" collapsed="false">
      <c r="A23" s="63" t="str">
        <f aca="false">IF(員工清單!A23="","",員工清單!A23)</f>
        <v/>
      </c>
      <c r="B23" s="63" t="str">
        <f aca="false">IF($A23="","",員工清單!B23)</f>
        <v/>
      </c>
      <c r="C23" s="33"/>
      <c r="D23" s="33"/>
      <c r="E23" s="33"/>
      <c r="F23" s="33"/>
      <c r="G23" s="33"/>
      <c r="H23" s="33"/>
      <c r="I23" s="33"/>
      <c r="J23" s="33"/>
      <c r="K23" s="48" t="str">
        <f aca="false">IF($A23="","",SUM(C23:J23))</f>
        <v/>
      </c>
      <c r="L23" s="63" t="str">
        <f aca="false">IF($A23="","",IF($K23&gt;=參數設定!$C$4,"✓","⚠ 低於最低工資"))</f>
        <v/>
      </c>
    </row>
    <row r="24" customFormat="false" ht="15" hidden="false" customHeight="true" outlineLevel="0" collapsed="false">
      <c r="A24" s="63" t="str">
        <f aca="false">IF(員工清單!A24="","",員工清單!A24)</f>
        <v/>
      </c>
      <c r="B24" s="63" t="str">
        <f aca="false">IF($A24="","",員工清單!B24)</f>
        <v/>
      </c>
      <c r="C24" s="33"/>
      <c r="D24" s="33"/>
      <c r="E24" s="33"/>
      <c r="F24" s="33"/>
      <c r="G24" s="33"/>
      <c r="H24" s="33"/>
      <c r="I24" s="33"/>
      <c r="J24" s="33"/>
      <c r="K24" s="48" t="str">
        <f aca="false">IF($A24="","",SUM(C24:J24))</f>
        <v/>
      </c>
      <c r="L24" s="63" t="str">
        <f aca="false">IF($A24="","",IF($K24&gt;=參數設定!$C$4,"✓","⚠ 低於最低工資"))</f>
        <v/>
      </c>
    </row>
    <row r="25" customFormat="false" ht="15" hidden="false" customHeight="true" outlineLevel="0" collapsed="false">
      <c r="A25" s="63" t="str">
        <f aca="false">IF(員工清單!A25="","",員工清單!A25)</f>
        <v/>
      </c>
      <c r="B25" s="63" t="str">
        <f aca="false">IF($A25="","",員工清單!B25)</f>
        <v/>
      </c>
      <c r="C25" s="33"/>
      <c r="D25" s="33"/>
      <c r="E25" s="33"/>
      <c r="F25" s="33"/>
      <c r="G25" s="33"/>
      <c r="H25" s="33"/>
      <c r="I25" s="33"/>
      <c r="J25" s="33"/>
      <c r="K25" s="48" t="str">
        <f aca="false">IF($A25="","",SUM(C25:J25))</f>
        <v/>
      </c>
      <c r="L25" s="63" t="str">
        <f aca="false">IF($A25="","",IF($K25&gt;=參數設定!$C$4,"✓","⚠ 低於最低工資"))</f>
        <v/>
      </c>
    </row>
    <row r="26" customFormat="false" ht="15" hidden="false" customHeight="true" outlineLevel="0" collapsed="false">
      <c r="A26" s="63" t="str">
        <f aca="false">IF(員工清單!A26="","",員工清單!A26)</f>
        <v/>
      </c>
      <c r="B26" s="63" t="str">
        <f aca="false">IF($A26="","",員工清單!B26)</f>
        <v/>
      </c>
      <c r="C26" s="33"/>
      <c r="D26" s="33"/>
      <c r="E26" s="33"/>
      <c r="F26" s="33"/>
      <c r="G26" s="33"/>
      <c r="H26" s="33"/>
      <c r="I26" s="33"/>
      <c r="J26" s="33"/>
      <c r="K26" s="48" t="str">
        <f aca="false">IF($A26="","",SUM(C26:J26))</f>
        <v/>
      </c>
      <c r="L26" s="63" t="str">
        <f aca="false">IF($A26="","",IF($K26&gt;=參數設定!$C$4,"✓","⚠ 低於最低工資"))</f>
        <v/>
      </c>
    </row>
    <row r="27" customFormat="false" ht="15" hidden="false" customHeight="true" outlineLevel="0" collapsed="false">
      <c r="A27" s="63" t="str">
        <f aca="false">IF(員工清單!A27="","",員工清單!A27)</f>
        <v/>
      </c>
      <c r="B27" s="63" t="str">
        <f aca="false">IF($A27="","",員工清單!B27)</f>
        <v/>
      </c>
      <c r="C27" s="33"/>
      <c r="D27" s="33"/>
      <c r="E27" s="33"/>
      <c r="F27" s="33"/>
      <c r="G27" s="33"/>
      <c r="H27" s="33"/>
      <c r="I27" s="33"/>
      <c r="J27" s="33"/>
      <c r="K27" s="48" t="str">
        <f aca="false">IF($A27="","",SUM(C27:J27))</f>
        <v/>
      </c>
      <c r="L27" s="63" t="str">
        <f aca="false">IF($A27="","",IF($K27&gt;=參數設定!$C$4,"✓","⚠ 低於最低工資"))</f>
        <v/>
      </c>
    </row>
    <row r="28" customFormat="false" ht="15" hidden="false" customHeight="true" outlineLevel="0" collapsed="false">
      <c r="A28" s="63" t="str">
        <f aca="false">IF(員工清單!A28="","",員工清單!A28)</f>
        <v/>
      </c>
      <c r="B28" s="63" t="str">
        <f aca="false">IF($A28="","",員工清單!B28)</f>
        <v/>
      </c>
      <c r="C28" s="33"/>
      <c r="D28" s="33"/>
      <c r="E28" s="33"/>
      <c r="F28" s="33"/>
      <c r="G28" s="33"/>
      <c r="H28" s="33"/>
      <c r="I28" s="33"/>
      <c r="J28" s="33"/>
      <c r="K28" s="48" t="str">
        <f aca="false">IF($A28="","",SUM(C28:J28))</f>
        <v/>
      </c>
      <c r="L28" s="63" t="str">
        <f aca="false">IF($A28="","",IF($K28&gt;=參數設定!$C$4,"✓","⚠ 低於最低工資"))</f>
        <v/>
      </c>
    </row>
    <row r="29" customFormat="false" ht="15" hidden="false" customHeight="true" outlineLevel="0" collapsed="false">
      <c r="A29" s="63" t="str">
        <f aca="false">IF(員工清單!A29="","",員工清單!A29)</f>
        <v/>
      </c>
      <c r="B29" s="63" t="str">
        <f aca="false">IF($A29="","",員工清單!B29)</f>
        <v/>
      </c>
      <c r="C29" s="33"/>
      <c r="D29" s="33"/>
      <c r="E29" s="33"/>
      <c r="F29" s="33"/>
      <c r="G29" s="33"/>
      <c r="H29" s="33"/>
      <c r="I29" s="33"/>
      <c r="J29" s="33"/>
      <c r="K29" s="48" t="str">
        <f aca="false">IF($A29="","",SUM(C29:J29))</f>
        <v/>
      </c>
      <c r="L29" s="63" t="str">
        <f aca="false">IF($A29="","",IF($K29&gt;=參數設定!$C$4,"✓","⚠ 低於最低工資"))</f>
        <v/>
      </c>
    </row>
    <row r="30" customFormat="false" ht="15" hidden="false" customHeight="true" outlineLevel="0" collapsed="false">
      <c r="A30" s="63" t="str">
        <f aca="false">IF(員工清單!A30="","",員工清單!A30)</f>
        <v/>
      </c>
      <c r="B30" s="63" t="str">
        <f aca="false">IF($A30="","",員工清單!B30)</f>
        <v/>
      </c>
      <c r="C30" s="33"/>
      <c r="D30" s="33"/>
      <c r="E30" s="33"/>
      <c r="F30" s="33"/>
      <c r="G30" s="33"/>
      <c r="H30" s="33"/>
      <c r="I30" s="33"/>
      <c r="J30" s="33"/>
      <c r="K30" s="48" t="str">
        <f aca="false">IF($A30="","",SUM(C30:J30))</f>
        <v/>
      </c>
      <c r="L30" s="63" t="str">
        <f aca="false">IF($A30="","",IF($K30&gt;=參數設定!$C$4,"✓","⚠ 低於最低工資"))</f>
        <v/>
      </c>
    </row>
    <row r="31" customFormat="false" ht="15" hidden="false" customHeight="true" outlineLevel="0" collapsed="false">
      <c r="A31" s="63" t="str">
        <f aca="false">IF(員工清單!A31="","",員工清單!A31)</f>
        <v/>
      </c>
      <c r="B31" s="63" t="str">
        <f aca="false">IF($A31="","",員工清單!B31)</f>
        <v/>
      </c>
      <c r="C31" s="33"/>
      <c r="D31" s="33"/>
      <c r="E31" s="33"/>
      <c r="F31" s="33"/>
      <c r="G31" s="33"/>
      <c r="H31" s="33"/>
      <c r="I31" s="33"/>
      <c r="J31" s="33"/>
      <c r="K31" s="48" t="str">
        <f aca="false">IF($A31="","",SUM(C31:J31))</f>
        <v/>
      </c>
      <c r="L31" s="63" t="str">
        <f aca="false">IF($A31="","",IF($K31&gt;=參數設定!$C$4,"✓","⚠ 低於最低工資"))</f>
        <v/>
      </c>
    </row>
    <row r="32" customFormat="false" ht="15" hidden="false" customHeight="true" outlineLevel="0" collapsed="false">
      <c r="A32" s="63" t="str">
        <f aca="false">IF(員工清單!A32="","",員工清單!A32)</f>
        <v/>
      </c>
      <c r="B32" s="63" t="str">
        <f aca="false">IF($A32="","",員工清單!B32)</f>
        <v/>
      </c>
      <c r="C32" s="33"/>
      <c r="D32" s="33"/>
      <c r="E32" s="33"/>
      <c r="F32" s="33"/>
      <c r="G32" s="33"/>
      <c r="H32" s="33"/>
      <c r="I32" s="33"/>
      <c r="J32" s="33"/>
      <c r="K32" s="48" t="str">
        <f aca="false">IF($A32="","",SUM(C32:J32))</f>
        <v/>
      </c>
      <c r="L32" s="63" t="str">
        <f aca="false">IF($A32="","",IF($K32&gt;=參數設定!$C$4,"✓","⚠ 低於最低工資"))</f>
        <v/>
      </c>
    </row>
    <row r="33" customFormat="false" ht="15" hidden="false" customHeight="true" outlineLevel="0" collapsed="false">
      <c r="A33" s="63" t="str">
        <f aca="false">IF(員工清單!A33="","",員工清單!A33)</f>
        <v/>
      </c>
      <c r="B33" s="63" t="str">
        <f aca="false">IF($A33="","",員工清單!B33)</f>
        <v/>
      </c>
      <c r="C33" s="33"/>
      <c r="D33" s="33"/>
      <c r="E33" s="33"/>
      <c r="F33" s="33"/>
      <c r="G33" s="33"/>
      <c r="H33" s="33"/>
      <c r="I33" s="33"/>
      <c r="J33" s="33"/>
      <c r="K33" s="48" t="str">
        <f aca="false">IF($A33="","",SUM(C33:J33))</f>
        <v/>
      </c>
      <c r="L33" s="63" t="str">
        <f aca="false">IF($A33="","",IF($K33&gt;=參數設定!$C$4,"✓","⚠ 低於最低工資"))</f>
        <v/>
      </c>
    </row>
    <row r="34" customFormat="false" ht="15" hidden="false" customHeight="true" outlineLevel="0" collapsed="false">
      <c r="A34" s="63" t="str">
        <f aca="false">IF(員工清單!A34="","",員工清單!A34)</f>
        <v/>
      </c>
      <c r="B34" s="63" t="str">
        <f aca="false">IF($A34="","",員工清單!B34)</f>
        <v/>
      </c>
      <c r="C34" s="33"/>
      <c r="D34" s="33"/>
      <c r="E34" s="33"/>
      <c r="F34" s="33"/>
      <c r="G34" s="33"/>
      <c r="H34" s="33"/>
      <c r="I34" s="33"/>
      <c r="J34" s="33"/>
      <c r="K34" s="48" t="str">
        <f aca="false">IF($A34="","",SUM(C34:J34))</f>
        <v/>
      </c>
      <c r="L34" s="63" t="str">
        <f aca="false">IF($A34="","",IF($K34&gt;=參數設定!$C$4,"✓","⚠ 低於最低工資"))</f>
        <v/>
      </c>
    </row>
    <row r="35" customFormat="false" ht="15" hidden="false" customHeight="true" outlineLevel="0" collapsed="false">
      <c r="A35" s="63" t="str">
        <f aca="false">IF(員工清單!A35="","",員工清單!A35)</f>
        <v/>
      </c>
      <c r="B35" s="63" t="str">
        <f aca="false">IF($A35="","",員工清單!B35)</f>
        <v/>
      </c>
      <c r="C35" s="33"/>
      <c r="D35" s="33"/>
      <c r="E35" s="33"/>
      <c r="F35" s="33"/>
      <c r="G35" s="33"/>
      <c r="H35" s="33"/>
      <c r="I35" s="33"/>
      <c r="J35" s="33"/>
      <c r="K35" s="48" t="str">
        <f aca="false">IF($A35="","",SUM(C35:J35))</f>
        <v/>
      </c>
      <c r="L35" s="63" t="str">
        <f aca="false">IF($A35="","",IF($K35&gt;=參數設定!$C$4,"✓","⚠ 低於最低工資"))</f>
        <v/>
      </c>
    </row>
    <row r="36" customFormat="false" ht="15" hidden="false" customHeight="true" outlineLevel="0" collapsed="false">
      <c r="A36" s="63" t="str">
        <f aca="false">IF(員工清單!A36="","",員工清單!A36)</f>
        <v/>
      </c>
      <c r="B36" s="63" t="str">
        <f aca="false">IF($A36="","",員工清單!B36)</f>
        <v/>
      </c>
      <c r="C36" s="33"/>
      <c r="D36" s="33"/>
      <c r="E36" s="33"/>
      <c r="F36" s="33"/>
      <c r="G36" s="33"/>
      <c r="H36" s="33"/>
      <c r="I36" s="33"/>
      <c r="J36" s="33"/>
      <c r="K36" s="48" t="str">
        <f aca="false">IF($A36="","",SUM(C36:J36))</f>
        <v/>
      </c>
      <c r="L36" s="63" t="str">
        <f aca="false">IF($A36="","",IF($K36&gt;=參數設定!$C$4,"✓","⚠ 低於最低工資"))</f>
        <v/>
      </c>
    </row>
    <row r="37" customFormat="false" ht="15" hidden="false" customHeight="true" outlineLevel="0" collapsed="false">
      <c r="A37" s="63" t="str">
        <f aca="false">IF(員工清單!A37="","",員工清單!A37)</f>
        <v/>
      </c>
      <c r="B37" s="63" t="str">
        <f aca="false">IF($A37="","",員工清單!B37)</f>
        <v/>
      </c>
      <c r="C37" s="33"/>
      <c r="D37" s="33"/>
      <c r="E37" s="33"/>
      <c r="F37" s="33"/>
      <c r="G37" s="33"/>
      <c r="H37" s="33"/>
      <c r="I37" s="33"/>
      <c r="J37" s="33"/>
      <c r="K37" s="48" t="str">
        <f aca="false">IF($A37="","",SUM(C37:J37))</f>
        <v/>
      </c>
      <c r="L37" s="63" t="str">
        <f aca="false">IF($A37="","",IF($K37&gt;=參數設定!$C$4,"✓","⚠ 低於最低工資"))</f>
        <v/>
      </c>
    </row>
    <row r="38" customFormat="false" ht="15" hidden="false" customHeight="true" outlineLevel="0" collapsed="false">
      <c r="A38" s="63" t="str">
        <f aca="false">IF(員工清單!A38="","",員工清單!A38)</f>
        <v/>
      </c>
      <c r="B38" s="63" t="str">
        <f aca="false">IF($A38="","",員工清單!B38)</f>
        <v/>
      </c>
      <c r="C38" s="33"/>
      <c r="D38" s="33"/>
      <c r="E38" s="33"/>
      <c r="F38" s="33"/>
      <c r="G38" s="33"/>
      <c r="H38" s="33"/>
      <c r="I38" s="33"/>
      <c r="J38" s="33"/>
      <c r="K38" s="48" t="str">
        <f aca="false">IF($A38="","",SUM(C38:J38))</f>
        <v/>
      </c>
      <c r="L38" s="63" t="str">
        <f aca="false">IF($A38="","",IF($K38&gt;=參數設定!$C$4,"✓","⚠ 低於最低工資"))</f>
        <v/>
      </c>
    </row>
    <row r="39" customFormat="false" ht="15" hidden="false" customHeight="true" outlineLevel="0" collapsed="false">
      <c r="A39" s="63" t="str">
        <f aca="false">IF(員工清單!A39="","",員工清單!A39)</f>
        <v/>
      </c>
      <c r="B39" s="63" t="str">
        <f aca="false">IF($A39="","",員工清單!B39)</f>
        <v/>
      </c>
      <c r="C39" s="33"/>
      <c r="D39" s="33"/>
      <c r="E39" s="33"/>
      <c r="F39" s="33"/>
      <c r="G39" s="33"/>
      <c r="H39" s="33"/>
      <c r="I39" s="33"/>
      <c r="J39" s="33"/>
      <c r="K39" s="48" t="str">
        <f aca="false">IF($A39="","",SUM(C39:J39))</f>
        <v/>
      </c>
      <c r="L39" s="63" t="str">
        <f aca="false">IF($A39="","",IF($K39&gt;=參數設定!$C$4,"✓","⚠ 低於最低工資"))</f>
        <v/>
      </c>
    </row>
    <row r="40" customFormat="false" ht="15" hidden="false" customHeight="true" outlineLevel="0" collapsed="false">
      <c r="A40" s="63" t="str">
        <f aca="false">IF(員工清單!A40="","",員工清單!A40)</f>
        <v/>
      </c>
      <c r="B40" s="63" t="str">
        <f aca="false">IF($A40="","",員工清單!B40)</f>
        <v/>
      </c>
      <c r="C40" s="33"/>
      <c r="D40" s="33"/>
      <c r="E40" s="33"/>
      <c r="F40" s="33"/>
      <c r="G40" s="33"/>
      <c r="H40" s="33"/>
      <c r="I40" s="33"/>
      <c r="J40" s="33"/>
      <c r="K40" s="48" t="str">
        <f aca="false">IF($A40="","",SUM(C40:J40))</f>
        <v/>
      </c>
      <c r="L40" s="63" t="str">
        <f aca="false">IF($A40="","",IF($K40&gt;=參數設定!$C$4,"✓","⚠ 低於最低工資"))</f>
        <v/>
      </c>
    </row>
    <row r="41" customFormat="false" ht="15" hidden="false" customHeight="true" outlineLevel="0" collapsed="false">
      <c r="A41" s="63" t="str">
        <f aca="false">IF(員工清單!A41="","",員工清單!A41)</f>
        <v/>
      </c>
      <c r="B41" s="63" t="str">
        <f aca="false">IF($A41="","",員工清單!B41)</f>
        <v/>
      </c>
      <c r="C41" s="33"/>
      <c r="D41" s="33"/>
      <c r="E41" s="33"/>
      <c r="F41" s="33"/>
      <c r="G41" s="33"/>
      <c r="H41" s="33"/>
      <c r="I41" s="33"/>
      <c r="J41" s="33"/>
      <c r="K41" s="48" t="str">
        <f aca="false">IF($A41="","",SUM(C41:J41))</f>
        <v/>
      </c>
      <c r="L41" s="63" t="str">
        <f aca="false">IF($A41="","",IF($K41&gt;=參數設定!$C$4,"✓","⚠ 低於最低工資"))</f>
        <v/>
      </c>
    </row>
    <row r="42" customFormat="false" ht="15" hidden="false" customHeight="true" outlineLevel="0" collapsed="false">
      <c r="A42" s="63" t="str">
        <f aca="false">IF(員工清單!A42="","",員工清單!A42)</f>
        <v/>
      </c>
      <c r="B42" s="63" t="str">
        <f aca="false">IF($A42="","",員工清單!B42)</f>
        <v/>
      </c>
      <c r="C42" s="33"/>
      <c r="D42" s="33"/>
      <c r="E42" s="33"/>
      <c r="F42" s="33"/>
      <c r="G42" s="33"/>
      <c r="H42" s="33"/>
      <c r="I42" s="33"/>
      <c r="J42" s="33"/>
      <c r="K42" s="48" t="str">
        <f aca="false">IF($A42="","",SUM(C42:J42))</f>
        <v/>
      </c>
      <c r="L42" s="63" t="str">
        <f aca="false">IF($A42="","",IF($K42&gt;=參數設定!$C$4,"✓","⚠ 低於最低工資"))</f>
        <v/>
      </c>
    </row>
    <row r="43" customFormat="false" ht="15" hidden="false" customHeight="true" outlineLevel="0" collapsed="false">
      <c r="A43" s="63" t="str">
        <f aca="false">IF(員工清單!A43="","",員工清單!A43)</f>
        <v/>
      </c>
      <c r="B43" s="63" t="str">
        <f aca="false">IF($A43="","",員工清單!B43)</f>
        <v/>
      </c>
      <c r="C43" s="33"/>
      <c r="D43" s="33"/>
      <c r="E43" s="33"/>
      <c r="F43" s="33"/>
      <c r="G43" s="33"/>
      <c r="H43" s="33"/>
      <c r="I43" s="33"/>
      <c r="J43" s="33"/>
      <c r="K43" s="48" t="str">
        <f aca="false">IF($A43="","",SUM(C43:J43))</f>
        <v/>
      </c>
      <c r="L43" s="63" t="str">
        <f aca="false">IF($A43="","",IF($K43&gt;=參數設定!$C$4,"✓","⚠ 低於最低工資"))</f>
        <v/>
      </c>
    </row>
    <row r="44" customFormat="false" ht="15" hidden="false" customHeight="true" outlineLevel="0" collapsed="false">
      <c r="A44" s="63" t="str">
        <f aca="false">IF(員工清單!A44="","",員工清單!A44)</f>
        <v/>
      </c>
      <c r="B44" s="63" t="str">
        <f aca="false">IF($A44="","",員工清單!B44)</f>
        <v/>
      </c>
      <c r="C44" s="33"/>
      <c r="D44" s="33"/>
      <c r="E44" s="33"/>
      <c r="F44" s="33"/>
      <c r="G44" s="33"/>
      <c r="H44" s="33"/>
      <c r="I44" s="33"/>
      <c r="J44" s="33"/>
      <c r="K44" s="48" t="str">
        <f aca="false">IF($A44="","",SUM(C44:J44))</f>
        <v/>
      </c>
      <c r="L44" s="63" t="str">
        <f aca="false">IF($A44="","",IF($K44&gt;=參數設定!$C$4,"✓","⚠ 低於最低工資"))</f>
        <v/>
      </c>
    </row>
    <row r="45" customFormat="false" ht="15" hidden="false" customHeight="true" outlineLevel="0" collapsed="false">
      <c r="A45" s="63" t="str">
        <f aca="false">IF(員工清單!A45="","",員工清單!A45)</f>
        <v/>
      </c>
      <c r="B45" s="63" t="str">
        <f aca="false">IF($A45="","",員工清單!B45)</f>
        <v/>
      </c>
      <c r="C45" s="33"/>
      <c r="D45" s="33"/>
      <c r="E45" s="33"/>
      <c r="F45" s="33"/>
      <c r="G45" s="33"/>
      <c r="H45" s="33"/>
      <c r="I45" s="33"/>
      <c r="J45" s="33"/>
      <c r="K45" s="48" t="str">
        <f aca="false">IF($A45="","",SUM(C45:J45))</f>
        <v/>
      </c>
      <c r="L45" s="63" t="str">
        <f aca="false">IF($A45="","",IF($K45&gt;=參數設定!$C$4,"✓","⚠ 低於最低工資"))</f>
        <v/>
      </c>
    </row>
    <row r="46" customFormat="false" ht="15" hidden="false" customHeight="true" outlineLevel="0" collapsed="false">
      <c r="A46" s="63" t="str">
        <f aca="false">IF(員工清單!A46="","",員工清單!A46)</f>
        <v/>
      </c>
      <c r="B46" s="63" t="str">
        <f aca="false">IF($A46="","",員工清單!B46)</f>
        <v/>
      </c>
      <c r="C46" s="33"/>
      <c r="D46" s="33"/>
      <c r="E46" s="33"/>
      <c r="F46" s="33"/>
      <c r="G46" s="33"/>
      <c r="H46" s="33"/>
      <c r="I46" s="33"/>
      <c r="J46" s="33"/>
      <c r="K46" s="48" t="str">
        <f aca="false">IF($A46="","",SUM(C46:J46))</f>
        <v/>
      </c>
      <c r="L46" s="63" t="str">
        <f aca="false">IF($A46="","",IF($K46&gt;=參數設定!$C$4,"✓","⚠ 低於最低工資"))</f>
        <v/>
      </c>
    </row>
    <row r="47" customFormat="false" ht="15" hidden="false" customHeight="true" outlineLevel="0" collapsed="false">
      <c r="A47" s="63" t="str">
        <f aca="false">IF(員工清單!A47="","",員工清單!A47)</f>
        <v/>
      </c>
      <c r="B47" s="63" t="str">
        <f aca="false">IF($A47="","",員工清單!B47)</f>
        <v/>
      </c>
      <c r="C47" s="33"/>
      <c r="D47" s="33"/>
      <c r="E47" s="33"/>
      <c r="F47" s="33"/>
      <c r="G47" s="33"/>
      <c r="H47" s="33"/>
      <c r="I47" s="33"/>
      <c r="J47" s="33"/>
      <c r="K47" s="48" t="str">
        <f aca="false">IF($A47="","",SUM(C47:J47))</f>
        <v/>
      </c>
      <c r="L47" s="63" t="str">
        <f aca="false">IF($A47="","",IF($K47&gt;=參數設定!$C$4,"✓","⚠ 低於最低工資"))</f>
        <v/>
      </c>
    </row>
    <row r="48" customFormat="false" ht="15" hidden="false" customHeight="true" outlineLevel="0" collapsed="false">
      <c r="A48" s="63" t="str">
        <f aca="false">IF(員工清單!A48="","",員工清單!A48)</f>
        <v/>
      </c>
      <c r="B48" s="63" t="str">
        <f aca="false">IF($A48="","",員工清單!B48)</f>
        <v/>
      </c>
      <c r="C48" s="33"/>
      <c r="D48" s="33"/>
      <c r="E48" s="33"/>
      <c r="F48" s="33"/>
      <c r="G48" s="33"/>
      <c r="H48" s="33"/>
      <c r="I48" s="33"/>
      <c r="J48" s="33"/>
      <c r="K48" s="48" t="str">
        <f aca="false">IF($A48="","",SUM(C48:J48))</f>
        <v/>
      </c>
      <c r="L48" s="63" t="str">
        <f aca="false">IF($A48="","",IF($K48&gt;=參數設定!$C$4,"✓","⚠ 低於最低工資"))</f>
        <v/>
      </c>
    </row>
    <row r="49" customFormat="false" ht="15" hidden="false" customHeight="true" outlineLevel="0" collapsed="false">
      <c r="A49" s="63" t="str">
        <f aca="false">IF(員工清單!A49="","",員工清單!A49)</f>
        <v/>
      </c>
      <c r="B49" s="63" t="str">
        <f aca="false">IF($A49="","",員工清單!B49)</f>
        <v/>
      </c>
      <c r="C49" s="33"/>
      <c r="D49" s="33"/>
      <c r="E49" s="33"/>
      <c r="F49" s="33"/>
      <c r="G49" s="33"/>
      <c r="H49" s="33"/>
      <c r="I49" s="33"/>
      <c r="J49" s="33"/>
      <c r="K49" s="48" t="str">
        <f aca="false">IF($A49="","",SUM(C49:J49))</f>
        <v/>
      </c>
      <c r="L49" s="63" t="str">
        <f aca="false">IF($A49="","",IF($K49&gt;=參數設定!$C$4,"✓","⚠ 低於最低工資"))</f>
        <v/>
      </c>
    </row>
    <row r="50" customFormat="false" ht="15" hidden="false" customHeight="true" outlineLevel="0" collapsed="false">
      <c r="A50" s="63" t="str">
        <f aca="false">IF(員工清單!A50="","",員工清單!A50)</f>
        <v/>
      </c>
      <c r="B50" s="63" t="str">
        <f aca="false">IF($A50="","",員工清單!B50)</f>
        <v/>
      </c>
      <c r="C50" s="33"/>
      <c r="D50" s="33"/>
      <c r="E50" s="33"/>
      <c r="F50" s="33"/>
      <c r="G50" s="33"/>
      <c r="H50" s="33"/>
      <c r="I50" s="33"/>
      <c r="J50" s="33"/>
      <c r="K50" s="48" t="str">
        <f aca="false">IF($A50="","",SUM(C50:J50))</f>
        <v/>
      </c>
      <c r="L50" s="63" t="str">
        <f aca="false">IF($A50="","",IF($K50&gt;=參數設定!$C$4,"✓","⚠ 低於最低工資"))</f>
        <v/>
      </c>
    </row>
    <row r="51" customFormat="false" ht="15" hidden="false" customHeight="true" outlineLevel="0" collapsed="false">
      <c r="A51" s="63" t="str">
        <f aca="false">IF(員工清單!A51="","",員工清單!A51)</f>
        <v/>
      </c>
      <c r="B51" s="63" t="str">
        <f aca="false">IF($A51="","",員工清單!B51)</f>
        <v/>
      </c>
      <c r="C51" s="33"/>
      <c r="D51" s="33"/>
      <c r="E51" s="33"/>
      <c r="F51" s="33"/>
      <c r="G51" s="33"/>
      <c r="H51" s="33"/>
      <c r="I51" s="33"/>
      <c r="J51" s="33"/>
      <c r="K51" s="48" t="str">
        <f aca="false">IF($A51="","",SUM(C51:J51))</f>
        <v/>
      </c>
      <c r="L51" s="63" t="str">
        <f aca="false">IF($A51="","",IF($K51&gt;=參數設定!$C$4,"✓","⚠ 低於最低工資"))</f>
        <v/>
      </c>
    </row>
    <row r="52" customFormat="false" ht="15" hidden="false" customHeight="true" outlineLevel="0" collapsed="false">
      <c r="A52" s="63" t="str">
        <f aca="false">IF(員工清單!A52="","",員工清單!A52)</f>
        <v/>
      </c>
      <c r="B52" s="63" t="str">
        <f aca="false">IF($A52="","",員工清單!B52)</f>
        <v/>
      </c>
      <c r="C52" s="33"/>
      <c r="D52" s="33"/>
      <c r="E52" s="33"/>
      <c r="F52" s="33"/>
      <c r="G52" s="33"/>
      <c r="H52" s="33"/>
      <c r="I52" s="33"/>
      <c r="J52" s="33"/>
      <c r="K52" s="48" t="str">
        <f aca="false">IF($A52="","",SUM(C52:J52))</f>
        <v/>
      </c>
      <c r="L52" s="63" t="str">
        <f aca="false">IF($A52="","",IF($K52&gt;=參數設定!$C$4,"✓","⚠ 低於最低工資"))</f>
        <v/>
      </c>
    </row>
    <row r="53" customFormat="false" ht="15" hidden="false" customHeight="true" outlineLevel="0" collapsed="false">
      <c r="A53" s="63" t="str">
        <f aca="false">IF(員工清單!A53="","",員工清單!A53)</f>
        <v/>
      </c>
      <c r="B53" s="63" t="str">
        <f aca="false">IF($A53="","",員工清單!B53)</f>
        <v/>
      </c>
      <c r="C53" s="33"/>
      <c r="D53" s="33"/>
      <c r="E53" s="33"/>
      <c r="F53" s="33"/>
      <c r="G53" s="33"/>
      <c r="H53" s="33"/>
      <c r="I53" s="33"/>
      <c r="J53" s="33"/>
      <c r="K53" s="48" t="str">
        <f aca="false">IF($A53="","",SUM(C53:J53))</f>
        <v/>
      </c>
      <c r="L53" s="63" t="str">
        <f aca="false">IF($A53="","",IF($K53&gt;=參數設定!$C$4,"✓","⚠ 低於最低工資"))</f>
        <v/>
      </c>
    </row>
    <row r="55" customFormat="false" ht="15" hidden="false" customHeight="true" outlineLevel="0" collapsed="false">
      <c r="A55" s="13" t="s">
        <v>558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</sheetData>
  <mergeCells count="3">
    <mergeCell ref="A1:L1"/>
    <mergeCell ref="A2:L2"/>
    <mergeCell ref="A55:L55"/>
  </mergeCells>
  <conditionalFormatting sqref="A4:L53">
    <cfRule type="expression" priority="2" aboveAverage="0" equalAverage="0" bottom="0" percent="0" rank="0" text="" dxfId="1">
      <formula>AND($A4&lt;&gt;"",$K4&lt;參數設定!$C$4)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0"/>
    <col collapsed="false" customWidth="true" hidden="false" outlineLevel="0" max="4" min="4" style="1" width="15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6"/>
    <col collapsed="false" customWidth="true" hidden="false" outlineLevel="0" max="10" min="10" style="1" width="40"/>
  </cols>
  <sheetData>
    <row r="1" customFormat="false" ht="25.5" hidden="false" customHeight="true" outlineLevel="0" collapsed="false">
      <c r="A1" s="12" t="s">
        <v>559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26.25" hidden="false" customHeight="true" outlineLevel="0" collapsed="false">
      <c r="A2" s="13" t="s">
        <v>560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27.75" hidden="false" customHeight="true" outlineLevel="0" collapsed="false">
      <c r="A3" s="17" t="s">
        <v>59</v>
      </c>
      <c r="B3" s="17" t="s">
        <v>63</v>
      </c>
      <c r="C3" s="17" t="s">
        <v>118</v>
      </c>
      <c r="D3" s="17" t="s">
        <v>121</v>
      </c>
      <c r="E3" s="17" t="s">
        <v>561</v>
      </c>
      <c r="F3" s="17" t="s">
        <v>562</v>
      </c>
      <c r="G3" s="17" t="s">
        <v>563</v>
      </c>
      <c r="H3" s="17" t="s">
        <v>564</v>
      </c>
      <c r="I3" s="17" t="s">
        <v>565</v>
      </c>
      <c r="J3" s="17" t="s">
        <v>566</v>
      </c>
    </row>
    <row r="4" customFormat="false" ht="15" hidden="false" customHeight="true" outlineLevel="0" collapsed="false">
      <c r="A4" s="66" t="str">
        <f aca="false">IF(員工清單!A4="","",員工清單!A4)</f>
        <v>E001</v>
      </c>
      <c r="B4" s="66" t="str">
        <f aca="false">IF($A4="","",員工清單!B4)</f>
        <v>王小明</v>
      </c>
      <c r="C4" s="66" t="str">
        <f aca="false">IF($A4="","",IF(員工清單!T4="","居住者",員工清單!T4))</f>
        <v>居住者</v>
      </c>
      <c r="D4" s="66" t="str">
        <f aca="false">IF($A4="","",IF($C4="非居住者","—(6%/18%)",IF(員工清單!U4="","固定5%(未填表)",員工清單!U4)))</f>
        <v>固定5%</v>
      </c>
      <c r="E4" s="66" t="n">
        <f aca="false">IF($A4="","",N(員工清單!V4))</f>
        <v>1</v>
      </c>
      <c r="F4" s="67" t="n">
        <f aca="false">IF($A4="","",IF(員工清單!W4="","⚠未收件",員工清單!W4))</f>
        <v>46032</v>
      </c>
      <c r="G4" s="45" t="n">
        <f aca="false">IF($A4="","",薪資總表!M4-薪資總表!J4-薪資總表!L4-薪資總表!S4-MIN(N(薪資結構!G4),參數設定!$C$28))</f>
        <v>57992</v>
      </c>
      <c r="H4" s="45" t="n">
        <f aca="false">IF($A4="","",IF($C4="非居住者","—",參數設定!$C$21+$E4*參數設定!$C$22))</f>
        <v>98918</v>
      </c>
      <c r="I4" s="45" t="n">
        <f aca="false">IF($A4="","",IF($C4="非居住者",IF($G4&lt;=參數設定!$C$25,ROUND($G4*參數設定!$C$26,0),ROUND($G4*參數設定!$C$27,0)),IF(LEFT($D4,4)="固定5%",IF(ROUND($G4*參數設定!$C$23,0)&lt;=參數設定!$C$24,0,ROUND($G4*參數設定!$C$23,0)),IF($G4&lt;$H4,0,"查115年扣繳稅額表"))))</f>
        <v>2900</v>
      </c>
      <c r="J4" s="68" t="str">
        <f aca="false">IF($A4="","",TRIM(IF(員工清單!W4="","請補收免稅額申報表。","")&amp;IF(AND($C4&lt;&gt;"非居住者",員工清單!U4="依扣繳稅額表",ISNUMBER($H4),$G4&gt;=$H4)," 達起扣點：請依扶養"&amp;$E4&amp;"人欄查表後填入薪資總表V欄。","")))</f>
        <v/>
      </c>
    </row>
    <row r="5" customFormat="false" ht="15" hidden="false" customHeight="true" outlineLevel="0" collapsed="false">
      <c r="A5" s="66" t="str">
        <f aca="false">IF(員工清單!A5="","",員工清單!A5)</f>
        <v>E002</v>
      </c>
      <c r="B5" s="66" t="str">
        <f aca="false">IF($A5="","",員工清單!B5)</f>
        <v>李美華</v>
      </c>
      <c r="C5" s="66" t="str">
        <f aca="false">IF($A5="","",IF(員工清單!T5="","居住者",員工清單!T5))</f>
        <v>居住者</v>
      </c>
      <c r="D5" s="66" t="str">
        <f aca="false">IF($A5="","",IF($C5="非居住者","—(6%/18%)",IF(員工清單!U5="","固定5%(未填表)",員工清單!U5)))</f>
        <v>依扣繳稅額表</v>
      </c>
      <c r="E5" s="66" t="n">
        <f aca="false">IF($A5="","",N(員工清單!V5))</f>
        <v>0</v>
      </c>
      <c r="F5" s="67" t="n">
        <f aca="false">IF($A5="","",IF(員工清單!W5="","⚠未收件",員工清單!W5))</f>
        <v>46032</v>
      </c>
      <c r="G5" s="45" t="n">
        <f aca="false">IF($A5="","",薪資總表!M5-薪資總表!J5-薪資總表!L5-薪資總表!S5-MIN(N(薪資結構!G5),參數設定!$C$28))</f>
        <v>33000</v>
      </c>
      <c r="H5" s="45" t="n">
        <f aca="false">IF($A5="","",IF($C5="非居住者","—",參數設定!$C$21+$E5*參數設定!$C$22))</f>
        <v>90501</v>
      </c>
      <c r="I5" s="45" t="n">
        <f aca="false">IF($A5="","",IF($C5="非居住者",IF($G5&lt;=參數設定!$C$25,ROUND($G5*參數設定!$C$26,0),ROUND($G5*參數設定!$C$27,0)),IF(LEFT($D5,4)="固定5%",IF(ROUND($G5*參數設定!$C$23,0)&lt;=參數設定!$C$24,0,ROUND($G5*參數設定!$C$23,0)),IF($G5&lt;$H5,0,"查115年扣繳稅額表"))))</f>
        <v>0</v>
      </c>
      <c r="J5" s="68" t="str">
        <f aca="false">IF($A5="","",TRIM(IF(員工清單!W5="","請補收免稅額申報表。","")&amp;IF(AND($C5&lt;&gt;"非居住者",員工清單!U5="依扣繳稅額表",ISNUMBER($H5),$G5&gt;=$H5)," 達起扣點：請依扶養"&amp;$E5&amp;"人欄查表後填入薪資總表V欄。","")))</f>
        <v/>
      </c>
    </row>
    <row r="6" customFormat="false" ht="15" hidden="false" customHeight="true" outlineLevel="0" collapsed="false">
      <c r="A6" s="66" t="str">
        <f aca="false">IF(員工清單!A6="","",員工清單!A6)</f>
        <v>E003</v>
      </c>
      <c r="B6" s="66" t="str">
        <f aca="false">IF($A6="","",員工清單!B6)</f>
        <v>張志豪</v>
      </c>
      <c r="C6" s="66" t="str">
        <f aca="false">IF($A6="","",IF(員工清單!T6="","居住者",員工清單!T6))</f>
        <v>居住者</v>
      </c>
      <c r="D6" s="66" t="str">
        <f aca="false">IF($A6="","",IF($C6="非居住者","—(6%/18%)",IF(員工清單!U6="","固定5%(未填表)",員工清單!U6)))</f>
        <v>依扣繳稅額表</v>
      </c>
      <c r="E6" s="66" t="n">
        <f aca="false">IF($A6="","",N(員工清單!V6))</f>
        <v>3</v>
      </c>
      <c r="F6" s="67" t="n">
        <f aca="false">IF($A6="","",IF(員工清單!W6="","⚠未收件",員工清單!W6))</f>
        <v>46034</v>
      </c>
      <c r="G6" s="45" t="n">
        <f aca="false">IF($A6="","",薪資總表!M6-薪資總表!J6-薪資總表!L6-薪資總表!S6-MIN(N(薪資結構!G6),參數設定!$C$28))</f>
        <v>79372</v>
      </c>
      <c r="H6" s="45" t="n">
        <f aca="false">IF($A6="","",IF($C6="非居住者","—",參數設定!$C$21+$E6*參數設定!$C$22))</f>
        <v>115752</v>
      </c>
      <c r="I6" s="45" t="n">
        <f aca="false">IF($A6="","",IF($C6="非居住者",IF($G6&lt;=參數設定!$C$25,ROUND($G6*參數設定!$C$26,0),ROUND($G6*參數設定!$C$27,0)),IF(LEFT($D6,4)="固定5%",IF(ROUND($G6*參數設定!$C$23,0)&lt;=參數設定!$C$24,0,ROUND($G6*參數設定!$C$23,0)),IF($G6&lt;$H6,0,"查115年扣繳稅額表"))))</f>
        <v>0</v>
      </c>
      <c r="J6" s="68" t="str">
        <f aca="false">IF($A6="","",TRIM(IF(員工清單!W6="","請補收免稅額申報表。","")&amp;IF(AND($C6&lt;&gt;"非居住者",員工清單!U6="依扣繳稅額表",ISNUMBER($H6),$G6&gt;=$H6)," 達起扣點：請依扶養"&amp;$E6&amp;"人欄查表後填入薪資總表V欄。","")))</f>
        <v/>
      </c>
    </row>
    <row r="7" customFormat="false" ht="15" hidden="false" customHeight="true" outlineLevel="0" collapsed="false">
      <c r="A7" s="66" t="str">
        <f aca="false">IF(員工清單!A7="","",員工清單!A7)</f>
        <v>E004</v>
      </c>
      <c r="B7" s="66" t="str">
        <f aca="false">IF($A7="","",員工清單!B7)</f>
        <v>陳雅婷</v>
      </c>
      <c r="C7" s="66" t="str">
        <f aca="false">IF($A7="","",IF(員工清單!T7="","居住者",員工清單!T7))</f>
        <v>居住者</v>
      </c>
      <c r="D7" s="66" t="str">
        <f aca="false">IF($A7="","",IF($C7="非居住者","—(6%/18%)",IF(員工清單!U7="","固定5%(未填表)",員工清單!U7)))</f>
        <v>固定5%</v>
      </c>
      <c r="E7" s="66" t="n">
        <f aca="false">IF($A7="","",N(員工清單!V7))</f>
        <v>0</v>
      </c>
      <c r="F7" s="67" t="n">
        <f aca="false">IF($A7="","",IF(員工清單!W7="","⚠未收件",員工清單!W7))</f>
        <v>46032</v>
      </c>
      <c r="G7" s="45" t="n">
        <f aca="false">IF($A7="","",薪資總表!M7-薪資總表!J7-薪資總表!L7-薪資總表!S7-MIN(N(薪資結構!G7),參數設定!$C$28))</f>
        <v>39000</v>
      </c>
      <c r="H7" s="45" t="n">
        <f aca="false">IF($A7="","",IF($C7="非居住者","—",參數設定!$C$21+$E7*參數設定!$C$22))</f>
        <v>90501</v>
      </c>
      <c r="I7" s="45" t="n">
        <f aca="false">IF($A7="","",IF($C7="非居住者",IF($G7&lt;=參數設定!$C$25,ROUND($G7*參數設定!$C$26,0),ROUND($G7*參數設定!$C$27,0)),IF(LEFT($D7,4)="固定5%",IF(ROUND($G7*參數設定!$C$23,0)&lt;=參數設定!$C$24,0,ROUND($G7*參數設定!$C$23,0)),IF($G7&lt;$H7,0,"查115年扣繳稅額表"))))</f>
        <v>0</v>
      </c>
      <c r="J7" s="68" t="str">
        <f aca="false">IF($A7="","",TRIM(IF(員工清單!W7="","請補收免稅額申報表。","")&amp;IF(AND($C7&lt;&gt;"非居住者",員工清單!U7="依扣繳稅額表",ISNUMBER($H7),$G7&gt;=$H7)," 達起扣點：請依扶養"&amp;$E7&amp;"人欄查表後填入薪資總表V欄。","")))</f>
        <v/>
      </c>
    </row>
    <row r="8" customFormat="false" ht="15" hidden="false" customHeight="true" outlineLevel="0" collapsed="false">
      <c r="A8" s="66" t="str">
        <f aca="false">IF(員工清單!A8="","",員工清單!A8)</f>
        <v>E005</v>
      </c>
      <c r="B8" s="66" t="str">
        <f aca="false">IF($A8="","",員工清單!B8)</f>
        <v>林承翰</v>
      </c>
      <c r="C8" s="66" t="str">
        <f aca="false">IF($A8="","",IF(員工清單!T8="","居住者",員工清單!T8))</f>
        <v>居住者</v>
      </c>
      <c r="D8" s="66" t="str">
        <f aca="false">IF($A8="","",IF($C8="非居住者","—(6%/18%)",IF(員工清單!U8="","固定5%(未填表)",員工清單!U8)))</f>
        <v>依扣繳稅額表</v>
      </c>
      <c r="E8" s="66" t="n">
        <f aca="false">IF($A8="","",N(員工清單!V8))</f>
        <v>3</v>
      </c>
      <c r="F8" s="67" t="str">
        <f aca="false">IF($A8="","",IF(員工清單!W8="","⚠未收件",員工清單!W8))</f>
        <v>⚠未收件</v>
      </c>
      <c r="G8" s="45" t="n">
        <f aca="false">IF($A8="","",薪資總表!M8-薪資總表!J8-薪資總表!L8-薪資總表!S8-MIN(N(薪資結構!G8),參數設定!$C$28))</f>
        <v>70188</v>
      </c>
      <c r="H8" s="45" t="n">
        <f aca="false">IF($A8="","",IF($C8="非居住者","—",參數設定!$C$21+$E8*參數設定!$C$22))</f>
        <v>115752</v>
      </c>
      <c r="I8" s="45" t="n">
        <f aca="false">IF($A8="","",IF($C8="非居住者",IF($G8&lt;=參數設定!$C$25,ROUND($G8*參數設定!$C$26,0),ROUND($G8*參數設定!$C$27,0)),IF(LEFT($D8,4)="固定5%",IF(ROUND($G8*參數設定!$C$23,0)&lt;=參數設定!$C$24,0,ROUND($G8*參數設定!$C$23,0)),IF($G8&lt;$H8,0,"查115年扣繳稅額表"))))</f>
        <v>0</v>
      </c>
      <c r="J8" s="68" t="str">
        <f aca="false">IF($A8="","",TRIM(IF(員工清單!W8="","請補收免稅額申報表。","")&amp;IF(AND($C8&lt;&gt;"非居住者",員工清單!U8="依扣繳稅額表",ISNUMBER($H8),$G8&gt;=$H8)," 達起扣點：請依扶養"&amp;$E8&amp;"人欄查表後填入薪資總表V欄。","")))</f>
        <v>請補收免稅額申報表。</v>
      </c>
    </row>
    <row r="9" customFormat="false" ht="15" hidden="false" customHeight="true" outlineLevel="0" collapsed="false">
      <c r="A9" s="66" t="str">
        <f aca="false">IF(員工清單!A9="","",員工清單!A9)</f>
        <v>E006</v>
      </c>
      <c r="B9" s="66" t="str">
        <f aca="false">IF($A9="","",員工清單!B9)</f>
        <v>黃詩涵</v>
      </c>
      <c r="C9" s="66" t="str">
        <f aca="false">IF($A9="","",IF(員工清單!T9="","居住者",員工清單!T9))</f>
        <v>非居住者</v>
      </c>
      <c r="D9" s="66" t="str">
        <f aca="false">IF($A9="","",IF($C9="非居住者","—(6%/18%)",IF(員工清單!U9="","固定5%(未填表)",員工清單!U9)))</f>
        <v>—(6%/18%)</v>
      </c>
      <c r="E9" s="66" t="n">
        <f aca="false">IF($A9="","",N(員工清單!V9))</f>
        <v>0</v>
      </c>
      <c r="F9" s="67" t="n">
        <f aca="false">IF($A9="","",IF(員工清單!W9="","⚠未收件",員工清單!W9))</f>
        <v>46037</v>
      </c>
      <c r="G9" s="45" t="n">
        <f aca="false">IF($A9="","",薪資總表!M9-薪資總表!J9-薪資總表!L9-薪資總表!S9-MIN(N(薪資結構!G9),參數設定!$C$28))</f>
        <v>30000</v>
      </c>
      <c r="H9" s="45" t="str">
        <f aca="false">IF($A9="","",IF($C9="非居住者","—",參數設定!$C$21+$E9*參數設定!$C$22))</f>
        <v>—</v>
      </c>
      <c r="I9" s="45" t="n">
        <f aca="false">IF($A9="","",IF($C9="非居住者",IF($G9&lt;=參數設定!$C$25,ROUND($G9*參數設定!$C$26,0),ROUND($G9*參數設定!$C$27,0)),IF(LEFT($D9,4)="固定5%",IF(ROUND($G9*參數設定!$C$23,0)&lt;=參數設定!$C$24,0,ROUND($G9*參數設定!$C$23,0)),IF($G9&lt;$H9,0,"查115年扣繳稅額表"))))</f>
        <v>1800</v>
      </c>
      <c r="J9" s="68" t="str">
        <f aca="false">IF($A9="","",TRIM(IF(員工清單!W9="","請補收免稅額申報表。","")&amp;IF(AND($C9&lt;&gt;"非居住者",員工清單!U9="依扣繳稅額表",ISNUMBER($H9),$G9&gt;=$H9)," 達起扣點：請依扶養"&amp;$E9&amp;"人欄查表後填入薪資總表V欄。","")))</f>
        <v/>
      </c>
    </row>
    <row r="10" customFormat="false" ht="15" hidden="false" customHeight="true" outlineLevel="0" collapsed="false">
      <c r="A10" s="66" t="str">
        <f aca="false">IF(員工清單!A10="","",員工清單!A10)</f>
        <v>E007</v>
      </c>
      <c r="B10" s="66" t="str">
        <f aca="false">IF($A10="","",員工清單!B10)</f>
        <v>吳建宏</v>
      </c>
      <c r="C10" s="66" t="str">
        <f aca="false">IF($A10="","",IF(員工清單!T10="","居住者",員工清單!T10))</f>
        <v>居住者</v>
      </c>
      <c r="D10" s="66" t="str">
        <f aca="false">IF($A10="","",IF($C10="非居住者","—(6%/18%)",IF(員工清單!U10="","固定5%(未填表)",員工清單!U10)))</f>
        <v>固定5%</v>
      </c>
      <c r="E10" s="66" t="n">
        <f aca="false">IF($A10="","",N(員工清單!V10))</f>
        <v>2</v>
      </c>
      <c r="F10" s="67" t="n">
        <f aca="false">IF($A10="","",IF(員工清單!W10="","⚠未收件",員工清單!W10))</f>
        <v>46032</v>
      </c>
      <c r="G10" s="45" t="n">
        <f aca="false">IF($A10="","",薪資總表!M10-薪資總表!J10-薪資總表!L10-薪資總表!S10-MIN(N(薪資結構!G10),參數設定!$C$28))</f>
        <v>26500</v>
      </c>
      <c r="H10" s="45" t="n">
        <f aca="false">IF($A10="","",IF($C10="非居住者","—",參數設定!$C$21+$E10*參數設定!$C$22))</f>
        <v>107335</v>
      </c>
      <c r="I10" s="45" t="n">
        <f aca="false">IF($A10="","",IF($C10="非居住者",IF($G10&lt;=參數設定!$C$25,ROUND($G10*參數設定!$C$26,0),ROUND($G10*參數設定!$C$27,0)),IF(LEFT($D10,4)="固定5%",IF(ROUND($G10*參數設定!$C$23,0)&lt;=參數設定!$C$24,0,ROUND($G10*參數設定!$C$23,0)),IF($G10&lt;$H10,0,"查115年扣繳稅額表"))))</f>
        <v>0</v>
      </c>
      <c r="J10" s="68" t="str">
        <f aca="false">IF($A10="","",TRIM(IF(員工清單!W10="","請補收免稅額申報表。","")&amp;IF(AND($C10&lt;&gt;"非居住者",員工清單!U10="依扣繳稅額表",ISNUMBER($H10),$G10&gt;=$H10)," 達起扣點：請依扶養"&amp;$E10&amp;"人欄查表後填入薪資總表V欄。","")))</f>
        <v/>
      </c>
    </row>
    <row r="11" customFormat="false" ht="15" hidden="false" customHeight="true" outlineLevel="0" collapsed="false">
      <c r="A11" s="66" t="str">
        <f aca="false">IF(員工清單!A11="","",員工清單!A11)</f>
        <v>E008</v>
      </c>
      <c r="B11" s="66" t="str">
        <f aca="false">IF($A11="","",員工清單!B11)</f>
        <v>蔡佩珊</v>
      </c>
      <c r="C11" s="66" t="str">
        <f aca="false">IF($A11="","",IF(員工清單!T11="","居住者",員工清單!T11))</f>
        <v>居住者</v>
      </c>
      <c r="D11" s="66" t="str">
        <f aca="false">IF($A11="","",IF($C11="非居住者","—(6%/18%)",IF(員工清單!U11="","固定5%(未填表)",員工清單!U11)))</f>
        <v>依扣繳稅額表</v>
      </c>
      <c r="E11" s="66" t="n">
        <f aca="false">IF($A11="","",N(員工清單!V11))</f>
        <v>1</v>
      </c>
      <c r="F11" s="67" t="n">
        <f aca="false">IF($A11="","",IF(員工清單!W11="","⚠未收件",員工清單!W11))</f>
        <v>46032</v>
      </c>
      <c r="G11" s="45" t="n">
        <f aca="false">IF($A11="","",薪資總表!M11-薪資總表!J11-薪資總表!L11-薪資總表!S11-MIN(N(薪資結構!G11),參數設定!$C$28))</f>
        <v>148000</v>
      </c>
      <c r="H11" s="45" t="n">
        <f aca="false">IF($A11="","",IF($C11="非居住者","—",參數設定!$C$21+$E11*參數設定!$C$22))</f>
        <v>98918</v>
      </c>
      <c r="I11" s="45" t="str">
        <f aca="false">IF($A11="","",IF($C11="非居住者",IF($G11&lt;=參數設定!$C$25,ROUND($G11*參數設定!$C$26,0),ROUND($G11*參數設定!$C$27,0)),IF(LEFT($D11,4)="固定5%",IF(ROUND($G11*參數設定!$C$23,0)&lt;=參數設定!$C$24,0,ROUND($G11*參數設定!$C$23,0)),IF($G11&lt;$H11,0,"查115年扣繳稅額表"))))</f>
        <v>查115年扣繳稅額表</v>
      </c>
      <c r="J11" s="68" t="str">
        <f aca="false">IF($A11="","",TRIM(IF(員工清單!W11="","請補收免稅額申報表。","")&amp;IF(AND($C11&lt;&gt;"非居住者",員工清單!U11="依扣繳稅額表",ISNUMBER($H11),$G11&gt;=$H11)," 達起扣點：請依扶養"&amp;$E11&amp;"人欄查表後填入薪資總表V欄。","")))</f>
        <v>達起扣點：請依扶養1人欄查表後填入薪資總表V欄。</v>
      </c>
    </row>
    <row r="12" customFormat="false" ht="15" hidden="false" customHeight="true" outlineLevel="0" collapsed="false">
      <c r="A12" s="66" t="str">
        <f aca="false">IF(員工清單!A12="","",員工清單!A12)</f>
        <v/>
      </c>
      <c r="B12" s="66" t="str">
        <f aca="false">IF($A12="","",員工清單!B12)</f>
        <v/>
      </c>
      <c r="C12" s="66" t="str">
        <f aca="false">IF($A12="","",IF(員工清單!T12="","居住者",員工清單!T12))</f>
        <v/>
      </c>
      <c r="D12" s="66" t="str">
        <f aca="false">IF($A12="","",IF($C12="非居住者","—(6%/18%)",IF(員工清單!U12="","固定5%(未填表)",員工清單!U12)))</f>
        <v/>
      </c>
      <c r="E12" s="66" t="str">
        <f aca="false">IF($A12="","",N(員工清單!V12))</f>
        <v/>
      </c>
      <c r="F12" s="67" t="str">
        <f aca="false">IF($A12="","",IF(員工清單!W12="","⚠未收件",員工清單!W12))</f>
        <v/>
      </c>
      <c r="G12" s="45" t="str">
        <f aca="false">IF($A12="","",薪資總表!M12-薪資總表!J12-薪資總表!L12-薪資總表!S12-MIN(N(薪資結構!G12),參數設定!$C$28))</f>
        <v/>
      </c>
      <c r="H12" s="45" t="str">
        <f aca="false">IF($A12="","",IF($C12="非居住者","—",參數設定!$C$21+$E12*參數設定!$C$22))</f>
        <v/>
      </c>
      <c r="I12" s="45" t="str">
        <f aca="false">IF($A12="","",IF($C12="非居住者",IF($G12&lt;=參數設定!$C$25,ROUND($G12*參數設定!$C$26,0),ROUND($G12*參數設定!$C$27,0)),IF(LEFT($D12,4)="固定5%",IF(ROUND($G12*參數設定!$C$23,0)&lt;=參數設定!$C$24,0,ROUND($G12*參數設定!$C$23,0)),IF($G12&lt;$H12,0,"查115年扣繳稅額表"))))</f>
        <v/>
      </c>
      <c r="J12" s="68" t="str">
        <f aca="false">IF($A12="","",TRIM(IF(員工清單!W12="","請補收免稅額申報表。","")&amp;IF(AND($C12&lt;&gt;"非居住者",員工清單!U12="依扣繳稅額表",ISNUMBER($H12),$G12&gt;=$H12)," 達起扣點：請依扶養"&amp;$E12&amp;"人欄查表後填入薪資總表V欄。","")))</f>
        <v/>
      </c>
    </row>
    <row r="13" customFormat="false" ht="15" hidden="false" customHeight="true" outlineLevel="0" collapsed="false">
      <c r="A13" s="66" t="str">
        <f aca="false">IF(員工清單!A13="","",員工清單!A13)</f>
        <v/>
      </c>
      <c r="B13" s="66" t="str">
        <f aca="false">IF($A13="","",員工清單!B13)</f>
        <v/>
      </c>
      <c r="C13" s="66" t="str">
        <f aca="false">IF($A13="","",IF(員工清單!T13="","居住者",員工清單!T13))</f>
        <v/>
      </c>
      <c r="D13" s="66" t="str">
        <f aca="false">IF($A13="","",IF($C13="非居住者","—(6%/18%)",IF(員工清單!U13="","固定5%(未填表)",員工清單!U13)))</f>
        <v/>
      </c>
      <c r="E13" s="66" t="str">
        <f aca="false">IF($A13="","",N(員工清單!V13))</f>
        <v/>
      </c>
      <c r="F13" s="67" t="str">
        <f aca="false">IF($A13="","",IF(員工清單!W13="","⚠未收件",員工清單!W13))</f>
        <v/>
      </c>
      <c r="G13" s="45" t="str">
        <f aca="false">IF($A13="","",薪資總表!M13-薪資總表!J13-薪資總表!L13-薪資總表!S13-MIN(N(薪資結構!G13),參數設定!$C$28))</f>
        <v/>
      </c>
      <c r="H13" s="45" t="str">
        <f aca="false">IF($A13="","",IF($C13="非居住者","—",參數設定!$C$21+$E13*參數設定!$C$22))</f>
        <v/>
      </c>
      <c r="I13" s="45" t="str">
        <f aca="false">IF($A13="","",IF($C13="非居住者",IF($G13&lt;=參數設定!$C$25,ROUND($G13*參數設定!$C$26,0),ROUND($G13*參數設定!$C$27,0)),IF(LEFT($D13,4)="固定5%",IF(ROUND($G13*參數設定!$C$23,0)&lt;=參數設定!$C$24,0,ROUND($G13*參數設定!$C$23,0)),IF($G13&lt;$H13,0,"查115年扣繳稅額表"))))</f>
        <v/>
      </c>
      <c r="J13" s="68" t="str">
        <f aca="false">IF($A13="","",TRIM(IF(員工清單!W13="","請補收免稅額申報表。","")&amp;IF(AND($C13&lt;&gt;"非居住者",員工清單!U13="依扣繳稅額表",ISNUMBER($H13),$G13&gt;=$H13)," 達起扣點：請依扶養"&amp;$E13&amp;"人欄查表後填入薪資總表V欄。","")))</f>
        <v/>
      </c>
    </row>
    <row r="14" customFormat="false" ht="15" hidden="false" customHeight="true" outlineLevel="0" collapsed="false">
      <c r="A14" s="66" t="str">
        <f aca="false">IF(員工清單!A14="","",員工清單!A14)</f>
        <v/>
      </c>
      <c r="B14" s="66" t="str">
        <f aca="false">IF($A14="","",員工清單!B14)</f>
        <v/>
      </c>
      <c r="C14" s="66" t="str">
        <f aca="false">IF($A14="","",IF(員工清單!T14="","居住者",員工清單!T14))</f>
        <v/>
      </c>
      <c r="D14" s="66" t="str">
        <f aca="false">IF($A14="","",IF($C14="非居住者","—(6%/18%)",IF(員工清單!U14="","固定5%(未填表)",員工清單!U14)))</f>
        <v/>
      </c>
      <c r="E14" s="66" t="str">
        <f aca="false">IF($A14="","",N(員工清單!V14))</f>
        <v/>
      </c>
      <c r="F14" s="67" t="str">
        <f aca="false">IF($A14="","",IF(員工清單!W14="","⚠未收件",員工清單!W14))</f>
        <v/>
      </c>
      <c r="G14" s="45" t="str">
        <f aca="false">IF($A14="","",薪資總表!M14-薪資總表!J14-薪資總表!L14-薪資總表!S14-MIN(N(薪資結構!G14),參數設定!$C$28))</f>
        <v/>
      </c>
      <c r="H14" s="45" t="str">
        <f aca="false">IF($A14="","",IF($C14="非居住者","—",參數設定!$C$21+$E14*參數設定!$C$22))</f>
        <v/>
      </c>
      <c r="I14" s="45" t="str">
        <f aca="false">IF($A14="","",IF($C14="非居住者",IF($G14&lt;=參數設定!$C$25,ROUND($G14*參數設定!$C$26,0),ROUND($G14*參數設定!$C$27,0)),IF(LEFT($D14,4)="固定5%",IF(ROUND($G14*參數設定!$C$23,0)&lt;=參數設定!$C$24,0,ROUND($G14*參數設定!$C$23,0)),IF($G14&lt;$H14,0,"查115年扣繳稅額表"))))</f>
        <v/>
      </c>
      <c r="J14" s="68" t="str">
        <f aca="false">IF($A14="","",TRIM(IF(員工清單!W14="","請補收免稅額申報表。","")&amp;IF(AND($C14&lt;&gt;"非居住者",員工清單!U14="依扣繳稅額表",ISNUMBER($H14),$G14&gt;=$H14)," 達起扣點：請依扶養"&amp;$E14&amp;"人欄查表後填入薪資總表V欄。","")))</f>
        <v/>
      </c>
    </row>
    <row r="15" customFormat="false" ht="15" hidden="false" customHeight="true" outlineLevel="0" collapsed="false">
      <c r="A15" s="66" t="str">
        <f aca="false">IF(員工清單!A15="","",員工清單!A15)</f>
        <v/>
      </c>
      <c r="B15" s="66" t="str">
        <f aca="false">IF($A15="","",員工清單!B15)</f>
        <v/>
      </c>
      <c r="C15" s="66" t="str">
        <f aca="false">IF($A15="","",IF(員工清單!T15="","居住者",員工清單!T15))</f>
        <v/>
      </c>
      <c r="D15" s="66" t="str">
        <f aca="false">IF($A15="","",IF($C15="非居住者","—(6%/18%)",IF(員工清單!U15="","固定5%(未填表)",員工清單!U15)))</f>
        <v/>
      </c>
      <c r="E15" s="66" t="str">
        <f aca="false">IF($A15="","",N(員工清單!V15))</f>
        <v/>
      </c>
      <c r="F15" s="67" t="str">
        <f aca="false">IF($A15="","",IF(員工清單!W15="","⚠未收件",員工清單!W15))</f>
        <v/>
      </c>
      <c r="G15" s="45" t="str">
        <f aca="false">IF($A15="","",薪資總表!M15-薪資總表!J15-薪資總表!L15-薪資總表!S15-MIN(N(薪資結構!G15),參數設定!$C$28))</f>
        <v/>
      </c>
      <c r="H15" s="45" t="str">
        <f aca="false">IF($A15="","",IF($C15="非居住者","—",參數設定!$C$21+$E15*參數設定!$C$22))</f>
        <v/>
      </c>
      <c r="I15" s="45" t="str">
        <f aca="false">IF($A15="","",IF($C15="非居住者",IF($G15&lt;=參數設定!$C$25,ROUND($G15*參數設定!$C$26,0),ROUND($G15*參數設定!$C$27,0)),IF(LEFT($D15,4)="固定5%",IF(ROUND($G15*參數設定!$C$23,0)&lt;=參數設定!$C$24,0,ROUND($G15*參數設定!$C$23,0)),IF($G15&lt;$H15,0,"查115年扣繳稅額表"))))</f>
        <v/>
      </c>
      <c r="J15" s="68" t="str">
        <f aca="false">IF($A15="","",TRIM(IF(員工清單!W15="","請補收免稅額申報表。","")&amp;IF(AND($C15&lt;&gt;"非居住者",員工清單!U15="依扣繳稅額表",ISNUMBER($H15),$G15&gt;=$H15)," 達起扣點：請依扶養"&amp;$E15&amp;"人欄查表後填入薪資總表V欄。","")))</f>
        <v/>
      </c>
    </row>
    <row r="16" customFormat="false" ht="15" hidden="false" customHeight="true" outlineLevel="0" collapsed="false">
      <c r="A16" s="66" t="str">
        <f aca="false">IF(員工清單!A16="","",員工清單!A16)</f>
        <v/>
      </c>
      <c r="B16" s="66" t="str">
        <f aca="false">IF($A16="","",員工清單!B16)</f>
        <v/>
      </c>
      <c r="C16" s="66" t="str">
        <f aca="false">IF($A16="","",IF(員工清單!T16="","居住者",員工清單!T16))</f>
        <v/>
      </c>
      <c r="D16" s="66" t="str">
        <f aca="false">IF($A16="","",IF($C16="非居住者","—(6%/18%)",IF(員工清單!U16="","固定5%(未填表)",員工清單!U16)))</f>
        <v/>
      </c>
      <c r="E16" s="66" t="str">
        <f aca="false">IF($A16="","",N(員工清單!V16))</f>
        <v/>
      </c>
      <c r="F16" s="67" t="str">
        <f aca="false">IF($A16="","",IF(員工清單!W16="","⚠未收件",員工清單!W16))</f>
        <v/>
      </c>
      <c r="G16" s="45" t="str">
        <f aca="false">IF($A16="","",薪資總表!M16-薪資總表!J16-薪資總表!L16-薪資總表!S16-MIN(N(薪資結構!G16),參數設定!$C$28))</f>
        <v/>
      </c>
      <c r="H16" s="45" t="str">
        <f aca="false">IF($A16="","",IF($C16="非居住者","—",參數設定!$C$21+$E16*參數設定!$C$22))</f>
        <v/>
      </c>
      <c r="I16" s="45" t="str">
        <f aca="false">IF($A16="","",IF($C16="非居住者",IF($G16&lt;=參數設定!$C$25,ROUND($G16*參數設定!$C$26,0),ROUND($G16*參數設定!$C$27,0)),IF(LEFT($D16,4)="固定5%",IF(ROUND($G16*參數設定!$C$23,0)&lt;=參數設定!$C$24,0,ROUND($G16*參數設定!$C$23,0)),IF($G16&lt;$H16,0,"查115年扣繳稅額表"))))</f>
        <v/>
      </c>
      <c r="J16" s="68" t="str">
        <f aca="false">IF($A16="","",TRIM(IF(員工清單!W16="","請補收免稅額申報表。","")&amp;IF(AND($C16&lt;&gt;"非居住者",員工清單!U16="依扣繳稅額表",ISNUMBER($H16),$G16&gt;=$H16)," 達起扣點：請依扶養"&amp;$E16&amp;"人欄查表後填入薪資總表V欄。","")))</f>
        <v/>
      </c>
    </row>
    <row r="17" customFormat="false" ht="15" hidden="false" customHeight="true" outlineLevel="0" collapsed="false">
      <c r="A17" s="66" t="str">
        <f aca="false">IF(員工清單!A17="","",員工清單!A17)</f>
        <v/>
      </c>
      <c r="B17" s="66" t="str">
        <f aca="false">IF($A17="","",員工清單!B17)</f>
        <v/>
      </c>
      <c r="C17" s="66" t="str">
        <f aca="false">IF($A17="","",IF(員工清單!T17="","居住者",員工清單!T17))</f>
        <v/>
      </c>
      <c r="D17" s="66" t="str">
        <f aca="false">IF($A17="","",IF($C17="非居住者","—(6%/18%)",IF(員工清單!U17="","固定5%(未填表)",員工清單!U17)))</f>
        <v/>
      </c>
      <c r="E17" s="66" t="str">
        <f aca="false">IF($A17="","",N(員工清單!V17))</f>
        <v/>
      </c>
      <c r="F17" s="67" t="str">
        <f aca="false">IF($A17="","",IF(員工清單!W17="","⚠未收件",員工清單!W17))</f>
        <v/>
      </c>
      <c r="G17" s="45" t="str">
        <f aca="false">IF($A17="","",薪資總表!M17-薪資總表!J17-薪資總表!L17-薪資總表!S17-MIN(N(薪資結構!G17),參數設定!$C$28))</f>
        <v/>
      </c>
      <c r="H17" s="45" t="str">
        <f aca="false">IF($A17="","",IF($C17="非居住者","—",參數設定!$C$21+$E17*參數設定!$C$22))</f>
        <v/>
      </c>
      <c r="I17" s="45" t="str">
        <f aca="false">IF($A17="","",IF($C17="非居住者",IF($G17&lt;=參數設定!$C$25,ROUND($G17*參數設定!$C$26,0),ROUND($G17*參數設定!$C$27,0)),IF(LEFT($D17,4)="固定5%",IF(ROUND($G17*參數設定!$C$23,0)&lt;=參數設定!$C$24,0,ROUND($G17*參數設定!$C$23,0)),IF($G17&lt;$H17,0,"查115年扣繳稅額表"))))</f>
        <v/>
      </c>
      <c r="J17" s="68" t="str">
        <f aca="false">IF($A17="","",TRIM(IF(員工清單!W17="","請補收免稅額申報表。","")&amp;IF(AND($C17&lt;&gt;"非居住者",員工清單!U17="依扣繳稅額表",ISNUMBER($H17),$G17&gt;=$H17)," 達起扣點：請依扶養"&amp;$E17&amp;"人欄查表後填入薪資總表V欄。","")))</f>
        <v/>
      </c>
    </row>
    <row r="18" customFormat="false" ht="15" hidden="false" customHeight="true" outlineLevel="0" collapsed="false">
      <c r="A18" s="66" t="str">
        <f aca="false">IF(員工清單!A18="","",員工清單!A18)</f>
        <v/>
      </c>
      <c r="B18" s="66" t="str">
        <f aca="false">IF($A18="","",員工清單!B18)</f>
        <v/>
      </c>
      <c r="C18" s="66" t="str">
        <f aca="false">IF($A18="","",IF(員工清單!T18="","居住者",員工清單!T18))</f>
        <v/>
      </c>
      <c r="D18" s="66" t="str">
        <f aca="false">IF($A18="","",IF($C18="非居住者","—(6%/18%)",IF(員工清單!U18="","固定5%(未填表)",員工清單!U18)))</f>
        <v/>
      </c>
      <c r="E18" s="66" t="str">
        <f aca="false">IF($A18="","",N(員工清單!V18))</f>
        <v/>
      </c>
      <c r="F18" s="67" t="str">
        <f aca="false">IF($A18="","",IF(員工清單!W18="","⚠未收件",員工清單!W18))</f>
        <v/>
      </c>
      <c r="G18" s="45" t="str">
        <f aca="false">IF($A18="","",薪資總表!M18-薪資總表!J18-薪資總表!L18-薪資總表!S18-MIN(N(薪資結構!G18),參數設定!$C$28))</f>
        <v/>
      </c>
      <c r="H18" s="45" t="str">
        <f aca="false">IF($A18="","",IF($C18="非居住者","—",參數設定!$C$21+$E18*參數設定!$C$22))</f>
        <v/>
      </c>
      <c r="I18" s="45" t="str">
        <f aca="false">IF($A18="","",IF($C18="非居住者",IF($G18&lt;=參數設定!$C$25,ROUND($G18*參數設定!$C$26,0),ROUND($G18*參數設定!$C$27,0)),IF(LEFT($D18,4)="固定5%",IF(ROUND($G18*參數設定!$C$23,0)&lt;=參數設定!$C$24,0,ROUND($G18*參數設定!$C$23,0)),IF($G18&lt;$H18,0,"查115年扣繳稅額表"))))</f>
        <v/>
      </c>
      <c r="J18" s="68" t="str">
        <f aca="false">IF($A18="","",TRIM(IF(員工清單!W18="","請補收免稅額申報表。","")&amp;IF(AND($C18&lt;&gt;"非居住者",員工清單!U18="依扣繳稅額表",ISNUMBER($H18),$G18&gt;=$H18)," 達起扣點：請依扶養"&amp;$E18&amp;"人欄查表後填入薪資總表V欄。","")))</f>
        <v/>
      </c>
    </row>
    <row r="19" customFormat="false" ht="15" hidden="false" customHeight="true" outlineLevel="0" collapsed="false">
      <c r="A19" s="66" t="str">
        <f aca="false">IF(員工清單!A19="","",員工清單!A19)</f>
        <v/>
      </c>
      <c r="B19" s="66" t="str">
        <f aca="false">IF($A19="","",員工清單!B19)</f>
        <v/>
      </c>
      <c r="C19" s="66" t="str">
        <f aca="false">IF($A19="","",IF(員工清單!T19="","居住者",員工清單!T19))</f>
        <v/>
      </c>
      <c r="D19" s="66" t="str">
        <f aca="false">IF($A19="","",IF($C19="非居住者","—(6%/18%)",IF(員工清單!U19="","固定5%(未填表)",員工清單!U19)))</f>
        <v/>
      </c>
      <c r="E19" s="66" t="str">
        <f aca="false">IF($A19="","",N(員工清單!V19))</f>
        <v/>
      </c>
      <c r="F19" s="67" t="str">
        <f aca="false">IF($A19="","",IF(員工清單!W19="","⚠未收件",員工清單!W19))</f>
        <v/>
      </c>
      <c r="G19" s="45" t="str">
        <f aca="false">IF($A19="","",薪資總表!M19-薪資總表!J19-薪資總表!L19-薪資總表!S19-MIN(N(薪資結構!G19),參數設定!$C$28))</f>
        <v/>
      </c>
      <c r="H19" s="45" t="str">
        <f aca="false">IF($A19="","",IF($C19="非居住者","—",參數設定!$C$21+$E19*參數設定!$C$22))</f>
        <v/>
      </c>
      <c r="I19" s="45" t="str">
        <f aca="false">IF($A19="","",IF($C19="非居住者",IF($G19&lt;=參數設定!$C$25,ROUND($G19*參數設定!$C$26,0),ROUND($G19*參數設定!$C$27,0)),IF(LEFT($D19,4)="固定5%",IF(ROUND($G19*參數設定!$C$23,0)&lt;=參數設定!$C$24,0,ROUND($G19*參數設定!$C$23,0)),IF($G19&lt;$H19,0,"查115年扣繳稅額表"))))</f>
        <v/>
      </c>
      <c r="J19" s="68" t="str">
        <f aca="false">IF($A19="","",TRIM(IF(員工清單!W19="","請補收免稅額申報表。","")&amp;IF(AND($C19&lt;&gt;"非居住者",員工清單!U19="依扣繳稅額表",ISNUMBER($H19),$G19&gt;=$H19)," 達起扣點：請依扶養"&amp;$E19&amp;"人欄查表後填入薪資總表V欄。","")))</f>
        <v/>
      </c>
    </row>
    <row r="20" customFormat="false" ht="15" hidden="false" customHeight="true" outlineLevel="0" collapsed="false">
      <c r="A20" s="66" t="str">
        <f aca="false">IF(員工清單!A20="","",員工清單!A20)</f>
        <v/>
      </c>
      <c r="B20" s="66" t="str">
        <f aca="false">IF($A20="","",員工清單!B20)</f>
        <v/>
      </c>
      <c r="C20" s="66" t="str">
        <f aca="false">IF($A20="","",IF(員工清單!T20="","居住者",員工清單!T20))</f>
        <v/>
      </c>
      <c r="D20" s="66" t="str">
        <f aca="false">IF($A20="","",IF($C20="非居住者","—(6%/18%)",IF(員工清單!U20="","固定5%(未填表)",員工清單!U20)))</f>
        <v/>
      </c>
      <c r="E20" s="66" t="str">
        <f aca="false">IF($A20="","",N(員工清單!V20))</f>
        <v/>
      </c>
      <c r="F20" s="67" t="str">
        <f aca="false">IF($A20="","",IF(員工清單!W20="","⚠未收件",員工清單!W20))</f>
        <v/>
      </c>
      <c r="G20" s="45" t="str">
        <f aca="false">IF($A20="","",薪資總表!M20-薪資總表!J20-薪資總表!L20-薪資總表!S20-MIN(N(薪資結構!G20),參數設定!$C$28))</f>
        <v/>
      </c>
      <c r="H20" s="45" t="str">
        <f aca="false">IF($A20="","",IF($C20="非居住者","—",參數設定!$C$21+$E20*參數設定!$C$22))</f>
        <v/>
      </c>
      <c r="I20" s="45" t="str">
        <f aca="false">IF($A20="","",IF($C20="非居住者",IF($G20&lt;=參數設定!$C$25,ROUND($G20*參數設定!$C$26,0),ROUND($G20*參數設定!$C$27,0)),IF(LEFT($D20,4)="固定5%",IF(ROUND($G20*參數設定!$C$23,0)&lt;=參數設定!$C$24,0,ROUND($G20*參數設定!$C$23,0)),IF($G20&lt;$H20,0,"查115年扣繳稅額表"))))</f>
        <v/>
      </c>
      <c r="J20" s="68" t="str">
        <f aca="false">IF($A20="","",TRIM(IF(員工清單!W20="","請補收免稅額申報表。","")&amp;IF(AND($C20&lt;&gt;"非居住者",員工清單!U20="依扣繳稅額表",ISNUMBER($H20),$G20&gt;=$H20)," 達起扣點：請依扶養"&amp;$E20&amp;"人欄查表後填入薪資總表V欄。","")))</f>
        <v/>
      </c>
    </row>
    <row r="21" customFormat="false" ht="15" hidden="false" customHeight="true" outlineLevel="0" collapsed="false">
      <c r="A21" s="66" t="str">
        <f aca="false">IF(員工清單!A21="","",員工清單!A21)</f>
        <v/>
      </c>
      <c r="B21" s="66" t="str">
        <f aca="false">IF($A21="","",員工清單!B21)</f>
        <v/>
      </c>
      <c r="C21" s="66" t="str">
        <f aca="false">IF($A21="","",IF(員工清單!T21="","居住者",員工清單!T21))</f>
        <v/>
      </c>
      <c r="D21" s="66" t="str">
        <f aca="false">IF($A21="","",IF($C21="非居住者","—(6%/18%)",IF(員工清單!U21="","固定5%(未填表)",員工清單!U21)))</f>
        <v/>
      </c>
      <c r="E21" s="66" t="str">
        <f aca="false">IF($A21="","",N(員工清單!V21))</f>
        <v/>
      </c>
      <c r="F21" s="67" t="str">
        <f aca="false">IF($A21="","",IF(員工清單!W21="","⚠未收件",員工清單!W21))</f>
        <v/>
      </c>
      <c r="G21" s="45" t="str">
        <f aca="false">IF($A21="","",薪資總表!M21-薪資總表!J21-薪資總表!L21-薪資總表!S21-MIN(N(薪資結構!G21),參數設定!$C$28))</f>
        <v/>
      </c>
      <c r="H21" s="45" t="str">
        <f aca="false">IF($A21="","",IF($C21="非居住者","—",參數設定!$C$21+$E21*參數設定!$C$22))</f>
        <v/>
      </c>
      <c r="I21" s="45" t="str">
        <f aca="false">IF($A21="","",IF($C21="非居住者",IF($G21&lt;=參數設定!$C$25,ROUND($G21*參數設定!$C$26,0),ROUND($G21*參數設定!$C$27,0)),IF(LEFT($D21,4)="固定5%",IF(ROUND($G21*參數設定!$C$23,0)&lt;=參數設定!$C$24,0,ROUND($G21*參數設定!$C$23,0)),IF($G21&lt;$H21,0,"查115年扣繳稅額表"))))</f>
        <v/>
      </c>
      <c r="J21" s="68" t="str">
        <f aca="false">IF($A21="","",TRIM(IF(員工清單!W21="","請補收免稅額申報表。","")&amp;IF(AND($C21&lt;&gt;"非居住者",員工清單!U21="依扣繳稅額表",ISNUMBER($H21),$G21&gt;=$H21)," 達起扣點：請依扶養"&amp;$E21&amp;"人欄查表後填入薪資總表V欄。","")))</f>
        <v/>
      </c>
    </row>
    <row r="22" customFormat="false" ht="15" hidden="false" customHeight="true" outlineLevel="0" collapsed="false">
      <c r="A22" s="66" t="str">
        <f aca="false">IF(員工清單!A22="","",員工清單!A22)</f>
        <v/>
      </c>
      <c r="B22" s="66" t="str">
        <f aca="false">IF($A22="","",員工清單!B22)</f>
        <v/>
      </c>
      <c r="C22" s="66" t="str">
        <f aca="false">IF($A22="","",IF(員工清單!T22="","居住者",員工清單!T22))</f>
        <v/>
      </c>
      <c r="D22" s="66" t="str">
        <f aca="false">IF($A22="","",IF($C22="非居住者","—(6%/18%)",IF(員工清單!U22="","固定5%(未填表)",員工清單!U22)))</f>
        <v/>
      </c>
      <c r="E22" s="66" t="str">
        <f aca="false">IF($A22="","",N(員工清單!V22))</f>
        <v/>
      </c>
      <c r="F22" s="67" t="str">
        <f aca="false">IF($A22="","",IF(員工清單!W22="","⚠未收件",員工清單!W22))</f>
        <v/>
      </c>
      <c r="G22" s="45" t="str">
        <f aca="false">IF($A22="","",薪資總表!M22-薪資總表!J22-薪資總表!L22-薪資總表!S22-MIN(N(薪資結構!G22),參數設定!$C$28))</f>
        <v/>
      </c>
      <c r="H22" s="45" t="str">
        <f aca="false">IF($A22="","",IF($C22="非居住者","—",參數設定!$C$21+$E22*參數設定!$C$22))</f>
        <v/>
      </c>
      <c r="I22" s="45" t="str">
        <f aca="false">IF($A22="","",IF($C22="非居住者",IF($G22&lt;=參數設定!$C$25,ROUND($G22*參數設定!$C$26,0),ROUND($G22*參數設定!$C$27,0)),IF(LEFT($D22,4)="固定5%",IF(ROUND($G22*參數設定!$C$23,0)&lt;=參數設定!$C$24,0,ROUND($G22*參數設定!$C$23,0)),IF($G22&lt;$H22,0,"查115年扣繳稅額表"))))</f>
        <v/>
      </c>
      <c r="J22" s="68" t="str">
        <f aca="false">IF($A22="","",TRIM(IF(員工清單!W22="","請補收免稅額申報表。","")&amp;IF(AND($C22&lt;&gt;"非居住者",員工清單!U22="依扣繳稅額表",ISNUMBER($H22),$G22&gt;=$H22)," 達起扣點：請依扶養"&amp;$E22&amp;"人欄查表後填入薪資總表V欄。","")))</f>
        <v/>
      </c>
    </row>
    <row r="23" customFormat="false" ht="15" hidden="false" customHeight="true" outlineLevel="0" collapsed="false">
      <c r="A23" s="66" t="str">
        <f aca="false">IF(員工清單!A23="","",員工清單!A23)</f>
        <v/>
      </c>
      <c r="B23" s="66" t="str">
        <f aca="false">IF($A23="","",員工清單!B23)</f>
        <v/>
      </c>
      <c r="C23" s="66" t="str">
        <f aca="false">IF($A23="","",IF(員工清單!T23="","居住者",員工清單!T23))</f>
        <v/>
      </c>
      <c r="D23" s="66" t="str">
        <f aca="false">IF($A23="","",IF($C23="非居住者","—(6%/18%)",IF(員工清單!U23="","固定5%(未填表)",員工清單!U23)))</f>
        <v/>
      </c>
      <c r="E23" s="66" t="str">
        <f aca="false">IF($A23="","",N(員工清單!V23))</f>
        <v/>
      </c>
      <c r="F23" s="67" t="str">
        <f aca="false">IF($A23="","",IF(員工清單!W23="","⚠未收件",員工清單!W23))</f>
        <v/>
      </c>
      <c r="G23" s="45" t="str">
        <f aca="false">IF($A23="","",薪資總表!M23-薪資總表!J23-薪資總表!L23-薪資總表!S23-MIN(N(薪資結構!G23),參數設定!$C$28))</f>
        <v/>
      </c>
      <c r="H23" s="45" t="str">
        <f aca="false">IF($A23="","",IF($C23="非居住者","—",參數設定!$C$21+$E23*參數設定!$C$22))</f>
        <v/>
      </c>
      <c r="I23" s="45" t="str">
        <f aca="false">IF($A23="","",IF($C23="非居住者",IF($G23&lt;=參數設定!$C$25,ROUND($G23*參數設定!$C$26,0),ROUND($G23*參數設定!$C$27,0)),IF(LEFT($D23,4)="固定5%",IF(ROUND($G23*參數設定!$C$23,0)&lt;=參數設定!$C$24,0,ROUND($G23*參數設定!$C$23,0)),IF($G23&lt;$H23,0,"查115年扣繳稅額表"))))</f>
        <v/>
      </c>
      <c r="J23" s="68" t="str">
        <f aca="false">IF($A23="","",TRIM(IF(員工清單!W23="","請補收免稅額申報表。","")&amp;IF(AND($C23&lt;&gt;"非居住者",員工清單!U23="依扣繳稅額表",ISNUMBER($H23),$G23&gt;=$H23)," 達起扣點：請依扶養"&amp;$E23&amp;"人欄查表後填入薪資總表V欄。","")))</f>
        <v/>
      </c>
    </row>
    <row r="24" customFormat="false" ht="15" hidden="false" customHeight="true" outlineLevel="0" collapsed="false">
      <c r="A24" s="66" t="str">
        <f aca="false">IF(員工清單!A24="","",員工清單!A24)</f>
        <v/>
      </c>
      <c r="B24" s="66" t="str">
        <f aca="false">IF($A24="","",員工清單!B24)</f>
        <v/>
      </c>
      <c r="C24" s="66" t="str">
        <f aca="false">IF($A24="","",IF(員工清單!T24="","居住者",員工清單!T24))</f>
        <v/>
      </c>
      <c r="D24" s="66" t="str">
        <f aca="false">IF($A24="","",IF($C24="非居住者","—(6%/18%)",IF(員工清單!U24="","固定5%(未填表)",員工清單!U24)))</f>
        <v/>
      </c>
      <c r="E24" s="66" t="str">
        <f aca="false">IF($A24="","",N(員工清單!V24))</f>
        <v/>
      </c>
      <c r="F24" s="67" t="str">
        <f aca="false">IF($A24="","",IF(員工清單!W24="","⚠未收件",員工清單!W24))</f>
        <v/>
      </c>
      <c r="G24" s="45" t="str">
        <f aca="false">IF($A24="","",薪資總表!M24-薪資總表!J24-薪資總表!L24-薪資總表!S24-MIN(N(薪資結構!G24),參數設定!$C$28))</f>
        <v/>
      </c>
      <c r="H24" s="45" t="str">
        <f aca="false">IF($A24="","",IF($C24="非居住者","—",參數設定!$C$21+$E24*參數設定!$C$22))</f>
        <v/>
      </c>
      <c r="I24" s="45" t="str">
        <f aca="false">IF($A24="","",IF($C24="非居住者",IF($G24&lt;=參數設定!$C$25,ROUND($G24*參數設定!$C$26,0),ROUND($G24*參數設定!$C$27,0)),IF(LEFT($D24,4)="固定5%",IF(ROUND($G24*參數設定!$C$23,0)&lt;=參數設定!$C$24,0,ROUND($G24*參數設定!$C$23,0)),IF($G24&lt;$H24,0,"查115年扣繳稅額表"))))</f>
        <v/>
      </c>
      <c r="J24" s="68" t="str">
        <f aca="false">IF($A24="","",TRIM(IF(員工清單!W24="","請補收免稅額申報表。","")&amp;IF(AND($C24&lt;&gt;"非居住者",員工清單!U24="依扣繳稅額表",ISNUMBER($H24),$G24&gt;=$H24)," 達起扣點：請依扶養"&amp;$E24&amp;"人欄查表後填入薪資總表V欄。","")))</f>
        <v/>
      </c>
    </row>
    <row r="25" customFormat="false" ht="15" hidden="false" customHeight="true" outlineLevel="0" collapsed="false">
      <c r="A25" s="66" t="str">
        <f aca="false">IF(員工清單!A25="","",員工清單!A25)</f>
        <v/>
      </c>
      <c r="B25" s="66" t="str">
        <f aca="false">IF($A25="","",員工清單!B25)</f>
        <v/>
      </c>
      <c r="C25" s="66" t="str">
        <f aca="false">IF($A25="","",IF(員工清單!T25="","居住者",員工清單!T25))</f>
        <v/>
      </c>
      <c r="D25" s="66" t="str">
        <f aca="false">IF($A25="","",IF($C25="非居住者","—(6%/18%)",IF(員工清單!U25="","固定5%(未填表)",員工清單!U25)))</f>
        <v/>
      </c>
      <c r="E25" s="66" t="str">
        <f aca="false">IF($A25="","",N(員工清單!V25))</f>
        <v/>
      </c>
      <c r="F25" s="67" t="str">
        <f aca="false">IF($A25="","",IF(員工清單!W25="","⚠未收件",員工清單!W25))</f>
        <v/>
      </c>
      <c r="G25" s="45" t="str">
        <f aca="false">IF($A25="","",薪資總表!M25-薪資總表!J25-薪資總表!L25-薪資總表!S25-MIN(N(薪資結構!G25),參數設定!$C$28))</f>
        <v/>
      </c>
      <c r="H25" s="45" t="str">
        <f aca="false">IF($A25="","",IF($C25="非居住者","—",參數設定!$C$21+$E25*參數設定!$C$22))</f>
        <v/>
      </c>
      <c r="I25" s="45" t="str">
        <f aca="false">IF($A25="","",IF($C25="非居住者",IF($G25&lt;=參數設定!$C$25,ROUND($G25*參數設定!$C$26,0),ROUND($G25*參數設定!$C$27,0)),IF(LEFT($D25,4)="固定5%",IF(ROUND($G25*參數設定!$C$23,0)&lt;=參數設定!$C$24,0,ROUND($G25*參數設定!$C$23,0)),IF($G25&lt;$H25,0,"查115年扣繳稅額表"))))</f>
        <v/>
      </c>
      <c r="J25" s="68" t="str">
        <f aca="false">IF($A25="","",TRIM(IF(員工清單!W25="","請補收免稅額申報表。","")&amp;IF(AND($C25&lt;&gt;"非居住者",員工清單!U25="依扣繳稅額表",ISNUMBER($H25),$G25&gt;=$H25)," 達起扣點：請依扶養"&amp;$E25&amp;"人欄查表後填入薪資總表V欄。","")))</f>
        <v/>
      </c>
    </row>
    <row r="26" customFormat="false" ht="15" hidden="false" customHeight="true" outlineLevel="0" collapsed="false">
      <c r="A26" s="66" t="str">
        <f aca="false">IF(員工清單!A26="","",員工清單!A26)</f>
        <v/>
      </c>
      <c r="B26" s="66" t="str">
        <f aca="false">IF($A26="","",員工清單!B26)</f>
        <v/>
      </c>
      <c r="C26" s="66" t="str">
        <f aca="false">IF($A26="","",IF(員工清單!T26="","居住者",員工清單!T26))</f>
        <v/>
      </c>
      <c r="D26" s="66" t="str">
        <f aca="false">IF($A26="","",IF($C26="非居住者","—(6%/18%)",IF(員工清單!U26="","固定5%(未填表)",員工清單!U26)))</f>
        <v/>
      </c>
      <c r="E26" s="66" t="str">
        <f aca="false">IF($A26="","",N(員工清單!V26))</f>
        <v/>
      </c>
      <c r="F26" s="67" t="str">
        <f aca="false">IF($A26="","",IF(員工清單!W26="","⚠未收件",員工清單!W26))</f>
        <v/>
      </c>
      <c r="G26" s="45" t="str">
        <f aca="false">IF($A26="","",薪資總表!M26-薪資總表!J26-薪資總表!L26-薪資總表!S26-MIN(N(薪資結構!G26),參數設定!$C$28))</f>
        <v/>
      </c>
      <c r="H26" s="45" t="str">
        <f aca="false">IF($A26="","",IF($C26="非居住者","—",參數設定!$C$21+$E26*參數設定!$C$22))</f>
        <v/>
      </c>
      <c r="I26" s="45" t="str">
        <f aca="false">IF($A26="","",IF($C26="非居住者",IF($G26&lt;=參數設定!$C$25,ROUND($G26*參數設定!$C$26,0),ROUND($G26*參數設定!$C$27,0)),IF(LEFT($D26,4)="固定5%",IF(ROUND($G26*參數設定!$C$23,0)&lt;=參數設定!$C$24,0,ROUND($G26*參數設定!$C$23,0)),IF($G26&lt;$H26,0,"查115年扣繳稅額表"))))</f>
        <v/>
      </c>
      <c r="J26" s="68" t="str">
        <f aca="false">IF($A26="","",TRIM(IF(員工清單!W26="","請補收免稅額申報表。","")&amp;IF(AND($C26&lt;&gt;"非居住者",員工清單!U26="依扣繳稅額表",ISNUMBER($H26),$G26&gt;=$H26)," 達起扣點：請依扶養"&amp;$E26&amp;"人欄查表後填入薪資總表V欄。","")))</f>
        <v/>
      </c>
    </row>
    <row r="27" customFormat="false" ht="15" hidden="false" customHeight="true" outlineLevel="0" collapsed="false">
      <c r="A27" s="66" t="str">
        <f aca="false">IF(員工清單!A27="","",員工清單!A27)</f>
        <v/>
      </c>
      <c r="B27" s="66" t="str">
        <f aca="false">IF($A27="","",員工清單!B27)</f>
        <v/>
      </c>
      <c r="C27" s="66" t="str">
        <f aca="false">IF($A27="","",IF(員工清單!T27="","居住者",員工清單!T27))</f>
        <v/>
      </c>
      <c r="D27" s="66" t="str">
        <f aca="false">IF($A27="","",IF($C27="非居住者","—(6%/18%)",IF(員工清單!U27="","固定5%(未填表)",員工清單!U27)))</f>
        <v/>
      </c>
      <c r="E27" s="66" t="str">
        <f aca="false">IF($A27="","",N(員工清單!V27))</f>
        <v/>
      </c>
      <c r="F27" s="67" t="str">
        <f aca="false">IF($A27="","",IF(員工清單!W27="","⚠未收件",員工清單!W27))</f>
        <v/>
      </c>
      <c r="G27" s="45" t="str">
        <f aca="false">IF($A27="","",薪資總表!M27-薪資總表!J27-薪資總表!L27-薪資總表!S27-MIN(N(薪資結構!G27),參數設定!$C$28))</f>
        <v/>
      </c>
      <c r="H27" s="45" t="str">
        <f aca="false">IF($A27="","",IF($C27="非居住者","—",參數設定!$C$21+$E27*參數設定!$C$22))</f>
        <v/>
      </c>
      <c r="I27" s="45" t="str">
        <f aca="false">IF($A27="","",IF($C27="非居住者",IF($G27&lt;=參數設定!$C$25,ROUND($G27*參數設定!$C$26,0),ROUND($G27*參數設定!$C$27,0)),IF(LEFT($D27,4)="固定5%",IF(ROUND($G27*參數設定!$C$23,0)&lt;=參數設定!$C$24,0,ROUND($G27*參數設定!$C$23,0)),IF($G27&lt;$H27,0,"查115年扣繳稅額表"))))</f>
        <v/>
      </c>
      <c r="J27" s="68" t="str">
        <f aca="false">IF($A27="","",TRIM(IF(員工清單!W27="","請補收免稅額申報表。","")&amp;IF(AND($C27&lt;&gt;"非居住者",員工清單!U27="依扣繳稅額表",ISNUMBER($H27),$G27&gt;=$H27)," 達起扣點：請依扶養"&amp;$E27&amp;"人欄查表後填入薪資總表V欄。","")))</f>
        <v/>
      </c>
    </row>
    <row r="28" customFormat="false" ht="15" hidden="false" customHeight="true" outlineLevel="0" collapsed="false">
      <c r="A28" s="66" t="str">
        <f aca="false">IF(員工清單!A28="","",員工清單!A28)</f>
        <v/>
      </c>
      <c r="B28" s="66" t="str">
        <f aca="false">IF($A28="","",員工清單!B28)</f>
        <v/>
      </c>
      <c r="C28" s="66" t="str">
        <f aca="false">IF($A28="","",IF(員工清單!T28="","居住者",員工清單!T28))</f>
        <v/>
      </c>
      <c r="D28" s="66" t="str">
        <f aca="false">IF($A28="","",IF($C28="非居住者","—(6%/18%)",IF(員工清單!U28="","固定5%(未填表)",員工清單!U28)))</f>
        <v/>
      </c>
      <c r="E28" s="66" t="str">
        <f aca="false">IF($A28="","",N(員工清單!V28))</f>
        <v/>
      </c>
      <c r="F28" s="67" t="str">
        <f aca="false">IF($A28="","",IF(員工清單!W28="","⚠未收件",員工清單!W28))</f>
        <v/>
      </c>
      <c r="G28" s="45" t="str">
        <f aca="false">IF($A28="","",薪資總表!M28-薪資總表!J28-薪資總表!L28-薪資總表!S28-MIN(N(薪資結構!G28),參數設定!$C$28))</f>
        <v/>
      </c>
      <c r="H28" s="45" t="str">
        <f aca="false">IF($A28="","",IF($C28="非居住者","—",參數設定!$C$21+$E28*參數設定!$C$22))</f>
        <v/>
      </c>
      <c r="I28" s="45" t="str">
        <f aca="false">IF($A28="","",IF($C28="非居住者",IF($G28&lt;=參數設定!$C$25,ROUND($G28*參數設定!$C$26,0),ROUND($G28*參數設定!$C$27,0)),IF(LEFT($D28,4)="固定5%",IF(ROUND($G28*參數設定!$C$23,0)&lt;=參數設定!$C$24,0,ROUND($G28*參數設定!$C$23,0)),IF($G28&lt;$H28,0,"查115年扣繳稅額表"))))</f>
        <v/>
      </c>
      <c r="J28" s="68" t="str">
        <f aca="false">IF($A28="","",TRIM(IF(員工清單!W28="","請補收免稅額申報表。","")&amp;IF(AND($C28&lt;&gt;"非居住者",員工清單!U28="依扣繳稅額表",ISNUMBER($H28),$G28&gt;=$H28)," 達起扣點：請依扶養"&amp;$E28&amp;"人欄查表後填入薪資總表V欄。","")))</f>
        <v/>
      </c>
    </row>
    <row r="29" customFormat="false" ht="15" hidden="false" customHeight="true" outlineLevel="0" collapsed="false">
      <c r="A29" s="66" t="str">
        <f aca="false">IF(員工清單!A29="","",員工清單!A29)</f>
        <v/>
      </c>
      <c r="B29" s="66" t="str">
        <f aca="false">IF($A29="","",員工清單!B29)</f>
        <v/>
      </c>
      <c r="C29" s="66" t="str">
        <f aca="false">IF($A29="","",IF(員工清單!T29="","居住者",員工清單!T29))</f>
        <v/>
      </c>
      <c r="D29" s="66" t="str">
        <f aca="false">IF($A29="","",IF($C29="非居住者","—(6%/18%)",IF(員工清單!U29="","固定5%(未填表)",員工清單!U29)))</f>
        <v/>
      </c>
      <c r="E29" s="66" t="str">
        <f aca="false">IF($A29="","",N(員工清單!V29))</f>
        <v/>
      </c>
      <c r="F29" s="67" t="str">
        <f aca="false">IF($A29="","",IF(員工清單!W29="","⚠未收件",員工清單!W29))</f>
        <v/>
      </c>
      <c r="G29" s="45" t="str">
        <f aca="false">IF($A29="","",薪資總表!M29-薪資總表!J29-薪資總表!L29-薪資總表!S29-MIN(N(薪資結構!G29),參數設定!$C$28))</f>
        <v/>
      </c>
      <c r="H29" s="45" t="str">
        <f aca="false">IF($A29="","",IF($C29="非居住者","—",參數設定!$C$21+$E29*參數設定!$C$22))</f>
        <v/>
      </c>
      <c r="I29" s="45" t="str">
        <f aca="false">IF($A29="","",IF($C29="非居住者",IF($G29&lt;=參數設定!$C$25,ROUND($G29*參數設定!$C$26,0),ROUND($G29*參數設定!$C$27,0)),IF(LEFT($D29,4)="固定5%",IF(ROUND($G29*參數設定!$C$23,0)&lt;=參數設定!$C$24,0,ROUND($G29*參數設定!$C$23,0)),IF($G29&lt;$H29,0,"查115年扣繳稅額表"))))</f>
        <v/>
      </c>
      <c r="J29" s="68" t="str">
        <f aca="false">IF($A29="","",TRIM(IF(員工清單!W29="","請補收免稅額申報表。","")&amp;IF(AND($C29&lt;&gt;"非居住者",員工清單!U29="依扣繳稅額表",ISNUMBER($H29),$G29&gt;=$H29)," 達起扣點：請依扶養"&amp;$E29&amp;"人欄查表後填入薪資總表V欄。","")))</f>
        <v/>
      </c>
    </row>
    <row r="30" customFormat="false" ht="15" hidden="false" customHeight="true" outlineLevel="0" collapsed="false">
      <c r="A30" s="66" t="str">
        <f aca="false">IF(員工清單!A30="","",員工清單!A30)</f>
        <v/>
      </c>
      <c r="B30" s="66" t="str">
        <f aca="false">IF($A30="","",員工清單!B30)</f>
        <v/>
      </c>
      <c r="C30" s="66" t="str">
        <f aca="false">IF($A30="","",IF(員工清單!T30="","居住者",員工清單!T30))</f>
        <v/>
      </c>
      <c r="D30" s="66" t="str">
        <f aca="false">IF($A30="","",IF($C30="非居住者","—(6%/18%)",IF(員工清單!U30="","固定5%(未填表)",員工清單!U30)))</f>
        <v/>
      </c>
      <c r="E30" s="66" t="str">
        <f aca="false">IF($A30="","",N(員工清單!V30))</f>
        <v/>
      </c>
      <c r="F30" s="67" t="str">
        <f aca="false">IF($A30="","",IF(員工清單!W30="","⚠未收件",員工清單!W30))</f>
        <v/>
      </c>
      <c r="G30" s="45" t="str">
        <f aca="false">IF($A30="","",薪資總表!M30-薪資總表!J30-薪資總表!L30-薪資總表!S30-MIN(N(薪資結構!G30),參數設定!$C$28))</f>
        <v/>
      </c>
      <c r="H30" s="45" t="str">
        <f aca="false">IF($A30="","",IF($C30="非居住者","—",參數設定!$C$21+$E30*參數設定!$C$22))</f>
        <v/>
      </c>
      <c r="I30" s="45" t="str">
        <f aca="false">IF($A30="","",IF($C30="非居住者",IF($G30&lt;=參數設定!$C$25,ROUND($G30*參數設定!$C$26,0),ROUND($G30*參數設定!$C$27,0)),IF(LEFT($D30,4)="固定5%",IF(ROUND($G30*參數設定!$C$23,0)&lt;=參數設定!$C$24,0,ROUND($G30*參數設定!$C$23,0)),IF($G30&lt;$H30,0,"查115年扣繳稅額表"))))</f>
        <v/>
      </c>
      <c r="J30" s="68" t="str">
        <f aca="false">IF($A30="","",TRIM(IF(員工清單!W30="","請補收免稅額申報表。","")&amp;IF(AND($C30&lt;&gt;"非居住者",員工清單!U30="依扣繳稅額表",ISNUMBER($H30),$G30&gt;=$H30)," 達起扣點：請依扶養"&amp;$E30&amp;"人欄查表後填入薪資總表V欄。","")))</f>
        <v/>
      </c>
    </row>
    <row r="31" customFormat="false" ht="15" hidden="false" customHeight="true" outlineLevel="0" collapsed="false">
      <c r="A31" s="66" t="str">
        <f aca="false">IF(員工清單!A31="","",員工清單!A31)</f>
        <v/>
      </c>
      <c r="B31" s="66" t="str">
        <f aca="false">IF($A31="","",員工清單!B31)</f>
        <v/>
      </c>
      <c r="C31" s="66" t="str">
        <f aca="false">IF($A31="","",IF(員工清單!T31="","居住者",員工清單!T31))</f>
        <v/>
      </c>
      <c r="D31" s="66" t="str">
        <f aca="false">IF($A31="","",IF($C31="非居住者","—(6%/18%)",IF(員工清單!U31="","固定5%(未填表)",員工清單!U31)))</f>
        <v/>
      </c>
      <c r="E31" s="66" t="str">
        <f aca="false">IF($A31="","",N(員工清單!V31))</f>
        <v/>
      </c>
      <c r="F31" s="67" t="str">
        <f aca="false">IF($A31="","",IF(員工清單!W31="","⚠未收件",員工清單!W31))</f>
        <v/>
      </c>
      <c r="G31" s="45" t="str">
        <f aca="false">IF($A31="","",薪資總表!M31-薪資總表!J31-薪資總表!L31-薪資總表!S31-MIN(N(薪資結構!G31),參數設定!$C$28))</f>
        <v/>
      </c>
      <c r="H31" s="45" t="str">
        <f aca="false">IF($A31="","",IF($C31="非居住者","—",參數設定!$C$21+$E31*參數設定!$C$22))</f>
        <v/>
      </c>
      <c r="I31" s="45" t="str">
        <f aca="false">IF($A31="","",IF($C31="非居住者",IF($G31&lt;=參數設定!$C$25,ROUND($G31*參數設定!$C$26,0),ROUND($G31*參數設定!$C$27,0)),IF(LEFT($D31,4)="固定5%",IF(ROUND($G31*參數設定!$C$23,0)&lt;=參數設定!$C$24,0,ROUND($G31*參數設定!$C$23,0)),IF($G31&lt;$H31,0,"查115年扣繳稅額表"))))</f>
        <v/>
      </c>
      <c r="J31" s="68" t="str">
        <f aca="false">IF($A31="","",TRIM(IF(員工清單!W31="","請補收免稅額申報表。","")&amp;IF(AND($C31&lt;&gt;"非居住者",員工清單!U31="依扣繳稅額表",ISNUMBER($H31),$G31&gt;=$H31)," 達起扣點：請依扶養"&amp;$E31&amp;"人欄查表後填入薪資總表V欄。","")))</f>
        <v/>
      </c>
    </row>
    <row r="32" customFormat="false" ht="15" hidden="false" customHeight="true" outlineLevel="0" collapsed="false">
      <c r="A32" s="66" t="str">
        <f aca="false">IF(員工清單!A32="","",員工清單!A32)</f>
        <v/>
      </c>
      <c r="B32" s="66" t="str">
        <f aca="false">IF($A32="","",員工清單!B32)</f>
        <v/>
      </c>
      <c r="C32" s="66" t="str">
        <f aca="false">IF($A32="","",IF(員工清單!T32="","居住者",員工清單!T32))</f>
        <v/>
      </c>
      <c r="D32" s="66" t="str">
        <f aca="false">IF($A32="","",IF($C32="非居住者","—(6%/18%)",IF(員工清單!U32="","固定5%(未填表)",員工清單!U32)))</f>
        <v/>
      </c>
      <c r="E32" s="66" t="str">
        <f aca="false">IF($A32="","",N(員工清單!V32))</f>
        <v/>
      </c>
      <c r="F32" s="67" t="str">
        <f aca="false">IF($A32="","",IF(員工清單!W32="","⚠未收件",員工清單!W32))</f>
        <v/>
      </c>
      <c r="G32" s="45" t="str">
        <f aca="false">IF($A32="","",薪資總表!M32-薪資總表!J32-薪資總表!L32-薪資總表!S32-MIN(N(薪資結構!G32),參數設定!$C$28))</f>
        <v/>
      </c>
      <c r="H32" s="45" t="str">
        <f aca="false">IF($A32="","",IF($C32="非居住者","—",參數設定!$C$21+$E32*參數設定!$C$22))</f>
        <v/>
      </c>
      <c r="I32" s="45" t="str">
        <f aca="false">IF($A32="","",IF($C32="非居住者",IF($G32&lt;=參數設定!$C$25,ROUND($G32*參數設定!$C$26,0),ROUND($G32*參數設定!$C$27,0)),IF(LEFT($D32,4)="固定5%",IF(ROUND($G32*參數設定!$C$23,0)&lt;=參數設定!$C$24,0,ROUND($G32*參數設定!$C$23,0)),IF($G32&lt;$H32,0,"查115年扣繳稅額表"))))</f>
        <v/>
      </c>
      <c r="J32" s="68" t="str">
        <f aca="false">IF($A32="","",TRIM(IF(員工清單!W32="","請補收免稅額申報表。","")&amp;IF(AND($C32&lt;&gt;"非居住者",員工清單!U32="依扣繳稅額表",ISNUMBER($H32),$G32&gt;=$H32)," 達起扣點：請依扶養"&amp;$E32&amp;"人欄查表後填入薪資總表V欄。","")))</f>
        <v/>
      </c>
    </row>
    <row r="33" customFormat="false" ht="15" hidden="false" customHeight="true" outlineLevel="0" collapsed="false">
      <c r="A33" s="66" t="str">
        <f aca="false">IF(員工清單!A33="","",員工清單!A33)</f>
        <v/>
      </c>
      <c r="B33" s="66" t="str">
        <f aca="false">IF($A33="","",員工清單!B33)</f>
        <v/>
      </c>
      <c r="C33" s="66" t="str">
        <f aca="false">IF($A33="","",IF(員工清單!T33="","居住者",員工清單!T33))</f>
        <v/>
      </c>
      <c r="D33" s="66" t="str">
        <f aca="false">IF($A33="","",IF($C33="非居住者","—(6%/18%)",IF(員工清單!U33="","固定5%(未填表)",員工清單!U33)))</f>
        <v/>
      </c>
      <c r="E33" s="66" t="str">
        <f aca="false">IF($A33="","",N(員工清單!V33))</f>
        <v/>
      </c>
      <c r="F33" s="67" t="str">
        <f aca="false">IF($A33="","",IF(員工清單!W33="","⚠未收件",員工清單!W33))</f>
        <v/>
      </c>
      <c r="G33" s="45" t="str">
        <f aca="false">IF($A33="","",薪資總表!M33-薪資總表!J33-薪資總表!L33-薪資總表!S33-MIN(N(薪資結構!G33),參數設定!$C$28))</f>
        <v/>
      </c>
      <c r="H33" s="45" t="str">
        <f aca="false">IF($A33="","",IF($C33="非居住者","—",參數設定!$C$21+$E33*參數設定!$C$22))</f>
        <v/>
      </c>
      <c r="I33" s="45" t="str">
        <f aca="false">IF($A33="","",IF($C33="非居住者",IF($G33&lt;=參數設定!$C$25,ROUND($G33*參數設定!$C$26,0),ROUND($G33*參數設定!$C$27,0)),IF(LEFT($D33,4)="固定5%",IF(ROUND($G33*參數設定!$C$23,0)&lt;=參數設定!$C$24,0,ROUND($G33*參數設定!$C$23,0)),IF($G33&lt;$H33,0,"查115年扣繳稅額表"))))</f>
        <v/>
      </c>
      <c r="J33" s="68" t="str">
        <f aca="false">IF($A33="","",TRIM(IF(員工清單!W33="","請補收免稅額申報表。","")&amp;IF(AND($C33&lt;&gt;"非居住者",員工清單!U33="依扣繳稅額表",ISNUMBER($H33),$G33&gt;=$H33)," 達起扣點：請依扶養"&amp;$E33&amp;"人欄查表後填入薪資總表V欄。","")))</f>
        <v/>
      </c>
    </row>
    <row r="34" customFormat="false" ht="15" hidden="false" customHeight="true" outlineLevel="0" collapsed="false">
      <c r="A34" s="66" t="str">
        <f aca="false">IF(員工清單!A34="","",員工清單!A34)</f>
        <v/>
      </c>
      <c r="B34" s="66" t="str">
        <f aca="false">IF($A34="","",員工清單!B34)</f>
        <v/>
      </c>
      <c r="C34" s="66" t="str">
        <f aca="false">IF($A34="","",IF(員工清單!T34="","居住者",員工清單!T34))</f>
        <v/>
      </c>
      <c r="D34" s="66" t="str">
        <f aca="false">IF($A34="","",IF($C34="非居住者","—(6%/18%)",IF(員工清單!U34="","固定5%(未填表)",員工清單!U34)))</f>
        <v/>
      </c>
      <c r="E34" s="66" t="str">
        <f aca="false">IF($A34="","",N(員工清單!V34))</f>
        <v/>
      </c>
      <c r="F34" s="67" t="str">
        <f aca="false">IF($A34="","",IF(員工清單!W34="","⚠未收件",員工清單!W34))</f>
        <v/>
      </c>
      <c r="G34" s="45" t="str">
        <f aca="false">IF($A34="","",薪資總表!M34-薪資總表!J34-薪資總表!L34-薪資總表!S34-MIN(N(薪資結構!G34),參數設定!$C$28))</f>
        <v/>
      </c>
      <c r="H34" s="45" t="str">
        <f aca="false">IF($A34="","",IF($C34="非居住者","—",參數設定!$C$21+$E34*參數設定!$C$22))</f>
        <v/>
      </c>
      <c r="I34" s="45" t="str">
        <f aca="false">IF($A34="","",IF($C34="非居住者",IF($G34&lt;=參數設定!$C$25,ROUND($G34*參數設定!$C$26,0),ROUND($G34*參數設定!$C$27,0)),IF(LEFT($D34,4)="固定5%",IF(ROUND($G34*參數設定!$C$23,0)&lt;=參數設定!$C$24,0,ROUND($G34*參數設定!$C$23,0)),IF($G34&lt;$H34,0,"查115年扣繳稅額表"))))</f>
        <v/>
      </c>
      <c r="J34" s="68" t="str">
        <f aca="false">IF($A34="","",TRIM(IF(員工清單!W34="","請補收免稅額申報表。","")&amp;IF(AND($C34&lt;&gt;"非居住者",員工清單!U34="依扣繳稅額表",ISNUMBER($H34),$G34&gt;=$H34)," 達起扣點：請依扶養"&amp;$E34&amp;"人欄查表後填入薪資總表V欄。","")))</f>
        <v/>
      </c>
    </row>
    <row r="35" customFormat="false" ht="15" hidden="false" customHeight="true" outlineLevel="0" collapsed="false">
      <c r="A35" s="66" t="str">
        <f aca="false">IF(員工清單!A35="","",員工清單!A35)</f>
        <v/>
      </c>
      <c r="B35" s="66" t="str">
        <f aca="false">IF($A35="","",員工清單!B35)</f>
        <v/>
      </c>
      <c r="C35" s="66" t="str">
        <f aca="false">IF($A35="","",IF(員工清單!T35="","居住者",員工清單!T35))</f>
        <v/>
      </c>
      <c r="D35" s="66" t="str">
        <f aca="false">IF($A35="","",IF($C35="非居住者","—(6%/18%)",IF(員工清單!U35="","固定5%(未填表)",員工清單!U35)))</f>
        <v/>
      </c>
      <c r="E35" s="66" t="str">
        <f aca="false">IF($A35="","",N(員工清單!V35))</f>
        <v/>
      </c>
      <c r="F35" s="67" t="str">
        <f aca="false">IF($A35="","",IF(員工清單!W35="","⚠未收件",員工清單!W35))</f>
        <v/>
      </c>
      <c r="G35" s="45" t="str">
        <f aca="false">IF($A35="","",薪資總表!M35-薪資總表!J35-薪資總表!L35-薪資總表!S35-MIN(N(薪資結構!G35),參數設定!$C$28))</f>
        <v/>
      </c>
      <c r="H35" s="45" t="str">
        <f aca="false">IF($A35="","",IF($C35="非居住者","—",參數設定!$C$21+$E35*參數設定!$C$22))</f>
        <v/>
      </c>
      <c r="I35" s="45" t="str">
        <f aca="false">IF($A35="","",IF($C35="非居住者",IF($G35&lt;=參數設定!$C$25,ROUND($G35*參數設定!$C$26,0),ROUND($G35*參數設定!$C$27,0)),IF(LEFT($D35,4)="固定5%",IF(ROUND($G35*參數設定!$C$23,0)&lt;=參數設定!$C$24,0,ROUND($G35*參數設定!$C$23,0)),IF($G35&lt;$H35,0,"查115年扣繳稅額表"))))</f>
        <v/>
      </c>
      <c r="J35" s="68" t="str">
        <f aca="false">IF($A35="","",TRIM(IF(員工清單!W35="","請補收免稅額申報表。","")&amp;IF(AND($C35&lt;&gt;"非居住者",員工清單!U35="依扣繳稅額表",ISNUMBER($H35),$G35&gt;=$H35)," 達起扣點：請依扶養"&amp;$E35&amp;"人欄查表後填入薪資總表V欄。","")))</f>
        <v/>
      </c>
    </row>
    <row r="36" customFormat="false" ht="15" hidden="false" customHeight="true" outlineLevel="0" collapsed="false">
      <c r="A36" s="66" t="str">
        <f aca="false">IF(員工清單!A36="","",員工清單!A36)</f>
        <v/>
      </c>
      <c r="B36" s="66" t="str">
        <f aca="false">IF($A36="","",員工清單!B36)</f>
        <v/>
      </c>
      <c r="C36" s="66" t="str">
        <f aca="false">IF($A36="","",IF(員工清單!T36="","居住者",員工清單!T36))</f>
        <v/>
      </c>
      <c r="D36" s="66" t="str">
        <f aca="false">IF($A36="","",IF($C36="非居住者","—(6%/18%)",IF(員工清單!U36="","固定5%(未填表)",員工清單!U36)))</f>
        <v/>
      </c>
      <c r="E36" s="66" t="str">
        <f aca="false">IF($A36="","",N(員工清單!V36))</f>
        <v/>
      </c>
      <c r="F36" s="67" t="str">
        <f aca="false">IF($A36="","",IF(員工清單!W36="","⚠未收件",員工清單!W36))</f>
        <v/>
      </c>
      <c r="G36" s="45" t="str">
        <f aca="false">IF($A36="","",薪資總表!M36-薪資總表!J36-薪資總表!L36-薪資總表!S36-MIN(N(薪資結構!G36),參數設定!$C$28))</f>
        <v/>
      </c>
      <c r="H36" s="45" t="str">
        <f aca="false">IF($A36="","",IF($C36="非居住者","—",參數設定!$C$21+$E36*參數設定!$C$22))</f>
        <v/>
      </c>
      <c r="I36" s="45" t="str">
        <f aca="false">IF($A36="","",IF($C36="非居住者",IF($G36&lt;=參數設定!$C$25,ROUND($G36*參數設定!$C$26,0),ROUND($G36*參數設定!$C$27,0)),IF(LEFT($D36,4)="固定5%",IF(ROUND($G36*參數設定!$C$23,0)&lt;=參數設定!$C$24,0,ROUND($G36*參數設定!$C$23,0)),IF($G36&lt;$H36,0,"查115年扣繳稅額表"))))</f>
        <v/>
      </c>
      <c r="J36" s="68" t="str">
        <f aca="false">IF($A36="","",TRIM(IF(員工清單!W36="","請補收免稅額申報表。","")&amp;IF(AND($C36&lt;&gt;"非居住者",員工清單!U36="依扣繳稅額表",ISNUMBER($H36),$G36&gt;=$H36)," 達起扣點：請依扶養"&amp;$E36&amp;"人欄查表後填入薪資總表V欄。","")))</f>
        <v/>
      </c>
    </row>
    <row r="37" customFormat="false" ht="15" hidden="false" customHeight="true" outlineLevel="0" collapsed="false">
      <c r="A37" s="66" t="str">
        <f aca="false">IF(員工清單!A37="","",員工清單!A37)</f>
        <v/>
      </c>
      <c r="B37" s="66" t="str">
        <f aca="false">IF($A37="","",員工清單!B37)</f>
        <v/>
      </c>
      <c r="C37" s="66" t="str">
        <f aca="false">IF($A37="","",IF(員工清單!T37="","居住者",員工清單!T37))</f>
        <v/>
      </c>
      <c r="D37" s="66" t="str">
        <f aca="false">IF($A37="","",IF($C37="非居住者","—(6%/18%)",IF(員工清單!U37="","固定5%(未填表)",員工清單!U37)))</f>
        <v/>
      </c>
      <c r="E37" s="66" t="str">
        <f aca="false">IF($A37="","",N(員工清單!V37))</f>
        <v/>
      </c>
      <c r="F37" s="67" t="str">
        <f aca="false">IF($A37="","",IF(員工清單!W37="","⚠未收件",員工清單!W37))</f>
        <v/>
      </c>
      <c r="G37" s="45" t="str">
        <f aca="false">IF($A37="","",薪資總表!M37-薪資總表!J37-薪資總表!L37-薪資總表!S37-MIN(N(薪資結構!G37),參數設定!$C$28))</f>
        <v/>
      </c>
      <c r="H37" s="45" t="str">
        <f aca="false">IF($A37="","",IF($C37="非居住者","—",參數設定!$C$21+$E37*參數設定!$C$22))</f>
        <v/>
      </c>
      <c r="I37" s="45" t="str">
        <f aca="false">IF($A37="","",IF($C37="非居住者",IF($G37&lt;=參數設定!$C$25,ROUND($G37*參數設定!$C$26,0),ROUND($G37*參數設定!$C$27,0)),IF(LEFT($D37,4)="固定5%",IF(ROUND($G37*參數設定!$C$23,0)&lt;=參數設定!$C$24,0,ROUND($G37*參數設定!$C$23,0)),IF($G37&lt;$H37,0,"查115年扣繳稅額表"))))</f>
        <v/>
      </c>
      <c r="J37" s="68" t="str">
        <f aca="false">IF($A37="","",TRIM(IF(員工清單!W37="","請補收免稅額申報表。","")&amp;IF(AND($C37&lt;&gt;"非居住者",員工清單!U37="依扣繳稅額表",ISNUMBER($H37),$G37&gt;=$H37)," 達起扣點：請依扶養"&amp;$E37&amp;"人欄查表後填入薪資總表V欄。","")))</f>
        <v/>
      </c>
    </row>
    <row r="38" customFormat="false" ht="15" hidden="false" customHeight="true" outlineLevel="0" collapsed="false">
      <c r="A38" s="66" t="str">
        <f aca="false">IF(員工清單!A38="","",員工清單!A38)</f>
        <v/>
      </c>
      <c r="B38" s="66" t="str">
        <f aca="false">IF($A38="","",員工清單!B38)</f>
        <v/>
      </c>
      <c r="C38" s="66" t="str">
        <f aca="false">IF($A38="","",IF(員工清單!T38="","居住者",員工清單!T38))</f>
        <v/>
      </c>
      <c r="D38" s="66" t="str">
        <f aca="false">IF($A38="","",IF($C38="非居住者","—(6%/18%)",IF(員工清單!U38="","固定5%(未填表)",員工清單!U38)))</f>
        <v/>
      </c>
      <c r="E38" s="66" t="str">
        <f aca="false">IF($A38="","",N(員工清單!V38))</f>
        <v/>
      </c>
      <c r="F38" s="67" t="str">
        <f aca="false">IF($A38="","",IF(員工清單!W38="","⚠未收件",員工清單!W38))</f>
        <v/>
      </c>
      <c r="G38" s="45" t="str">
        <f aca="false">IF($A38="","",薪資總表!M38-薪資總表!J38-薪資總表!L38-薪資總表!S38-MIN(N(薪資結構!G38),參數設定!$C$28))</f>
        <v/>
      </c>
      <c r="H38" s="45" t="str">
        <f aca="false">IF($A38="","",IF($C38="非居住者","—",參數設定!$C$21+$E38*參數設定!$C$22))</f>
        <v/>
      </c>
      <c r="I38" s="45" t="str">
        <f aca="false">IF($A38="","",IF($C38="非居住者",IF($G38&lt;=參數設定!$C$25,ROUND($G38*參數設定!$C$26,0),ROUND($G38*參數設定!$C$27,0)),IF(LEFT($D38,4)="固定5%",IF(ROUND($G38*參數設定!$C$23,0)&lt;=參數設定!$C$24,0,ROUND($G38*參數設定!$C$23,0)),IF($G38&lt;$H38,0,"查115年扣繳稅額表"))))</f>
        <v/>
      </c>
      <c r="J38" s="68" t="str">
        <f aca="false">IF($A38="","",TRIM(IF(員工清單!W38="","請補收免稅額申報表。","")&amp;IF(AND($C38&lt;&gt;"非居住者",員工清單!U38="依扣繳稅額表",ISNUMBER($H38),$G38&gt;=$H38)," 達起扣點：請依扶養"&amp;$E38&amp;"人欄查表後填入薪資總表V欄。","")))</f>
        <v/>
      </c>
    </row>
    <row r="39" customFormat="false" ht="15" hidden="false" customHeight="true" outlineLevel="0" collapsed="false">
      <c r="A39" s="66" t="str">
        <f aca="false">IF(員工清單!A39="","",員工清單!A39)</f>
        <v/>
      </c>
      <c r="B39" s="66" t="str">
        <f aca="false">IF($A39="","",員工清單!B39)</f>
        <v/>
      </c>
      <c r="C39" s="66" t="str">
        <f aca="false">IF($A39="","",IF(員工清單!T39="","居住者",員工清單!T39))</f>
        <v/>
      </c>
      <c r="D39" s="66" t="str">
        <f aca="false">IF($A39="","",IF($C39="非居住者","—(6%/18%)",IF(員工清單!U39="","固定5%(未填表)",員工清單!U39)))</f>
        <v/>
      </c>
      <c r="E39" s="66" t="str">
        <f aca="false">IF($A39="","",N(員工清單!V39))</f>
        <v/>
      </c>
      <c r="F39" s="67" t="str">
        <f aca="false">IF($A39="","",IF(員工清單!W39="","⚠未收件",員工清單!W39))</f>
        <v/>
      </c>
      <c r="G39" s="45" t="str">
        <f aca="false">IF($A39="","",薪資總表!M39-薪資總表!J39-薪資總表!L39-薪資總表!S39-MIN(N(薪資結構!G39),參數設定!$C$28))</f>
        <v/>
      </c>
      <c r="H39" s="45" t="str">
        <f aca="false">IF($A39="","",IF($C39="非居住者","—",參數設定!$C$21+$E39*參數設定!$C$22))</f>
        <v/>
      </c>
      <c r="I39" s="45" t="str">
        <f aca="false">IF($A39="","",IF($C39="非居住者",IF($G39&lt;=參數設定!$C$25,ROUND($G39*參數設定!$C$26,0),ROUND($G39*參數設定!$C$27,0)),IF(LEFT($D39,4)="固定5%",IF(ROUND($G39*參數設定!$C$23,0)&lt;=參數設定!$C$24,0,ROUND($G39*參數設定!$C$23,0)),IF($G39&lt;$H39,0,"查115年扣繳稅額表"))))</f>
        <v/>
      </c>
      <c r="J39" s="68" t="str">
        <f aca="false">IF($A39="","",TRIM(IF(員工清單!W39="","請補收免稅額申報表。","")&amp;IF(AND($C39&lt;&gt;"非居住者",員工清單!U39="依扣繳稅額表",ISNUMBER($H39),$G39&gt;=$H39)," 達起扣點：請依扶養"&amp;$E39&amp;"人欄查表後填入薪資總表V欄。","")))</f>
        <v/>
      </c>
    </row>
    <row r="40" customFormat="false" ht="15" hidden="false" customHeight="true" outlineLevel="0" collapsed="false">
      <c r="A40" s="66" t="str">
        <f aca="false">IF(員工清單!A40="","",員工清單!A40)</f>
        <v/>
      </c>
      <c r="B40" s="66" t="str">
        <f aca="false">IF($A40="","",員工清單!B40)</f>
        <v/>
      </c>
      <c r="C40" s="66" t="str">
        <f aca="false">IF($A40="","",IF(員工清單!T40="","居住者",員工清單!T40))</f>
        <v/>
      </c>
      <c r="D40" s="66" t="str">
        <f aca="false">IF($A40="","",IF($C40="非居住者","—(6%/18%)",IF(員工清單!U40="","固定5%(未填表)",員工清單!U40)))</f>
        <v/>
      </c>
      <c r="E40" s="66" t="str">
        <f aca="false">IF($A40="","",N(員工清單!V40))</f>
        <v/>
      </c>
      <c r="F40" s="67" t="str">
        <f aca="false">IF($A40="","",IF(員工清單!W40="","⚠未收件",員工清單!W40))</f>
        <v/>
      </c>
      <c r="G40" s="45" t="str">
        <f aca="false">IF($A40="","",薪資總表!M40-薪資總表!J40-薪資總表!L40-薪資總表!S40-MIN(N(薪資結構!G40),參數設定!$C$28))</f>
        <v/>
      </c>
      <c r="H40" s="45" t="str">
        <f aca="false">IF($A40="","",IF($C40="非居住者","—",參數設定!$C$21+$E40*參數設定!$C$22))</f>
        <v/>
      </c>
      <c r="I40" s="45" t="str">
        <f aca="false">IF($A40="","",IF($C40="非居住者",IF($G40&lt;=參數設定!$C$25,ROUND($G40*參數設定!$C$26,0),ROUND($G40*參數設定!$C$27,0)),IF(LEFT($D40,4)="固定5%",IF(ROUND($G40*參數設定!$C$23,0)&lt;=參數設定!$C$24,0,ROUND($G40*參數設定!$C$23,0)),IF($G40&lt;$H40,0,"查115年扣繳稅額表"))))</f>
        <v/>
      </c>
      <c r="J40" s="68" t="str">
        <f aca="false">IF($A40="","",TRIM(IF(員工清單!W40="","請補收免稅額申報表。","")&amp;IF(AND($C40&lt;&gt;"非居住者",員工清單!U40="依扣繳稅額表",ISNUMBER($H40),$G40&gt;=$H40)," 達起扣點：請依扶養"&amp;$E40&amp;"人欄查表後填入薪資總表V欄。","")))</f>
        <v/>
      </c>
    </row>
    <row r="41" customFormat="false" ht="15" hidden="false" customHeight="true" outlineLevel="0" collapsed="false">
      <c r="A41" s="66" t="str">
        <f aca="false">IF(員工清單!A41="","",員工清單!A41)</f>
        <v/>
      </c>
      <c r="B41" s="66" t="str">
        <f aca="false">IF($A41="","",員工清單!B41)</f>
        <v/>
      </c>
      <c r="C41" s="66" t="str">
        <f aca="false">IF($A41="","",IF(員工清單!T41="","居住者",員工清單!T41))</f>
        <v/>
      </c>
      <c r="D41" s="66" t="str">
        <f aca="false">IF($A41="","",IF($C41="非居住者","—(6%/18%)",IF(員工清單!U41="","固定5%(未填表)",員工清單!U41)))</f>
        <v/>
      </c>
      <c r="E41" s="66" t="str">
        <f aca="false">IF($A41="","",N(員工清單!V41))</f>
        <v/>
      </c>
      <c r="F41" s="67" t="str">
        <f aca="false">IF($A41="","",IF(員工清單!W41="","⚠未收件",員工清單!W41))</f>
        <v/>
      </c>
      <c r="G41" s="45" t="str">
        <f aca="false">IF($A41="","",薪資總表!M41-薪資總表!J41-薪資總表!L41-薪資總表!S41-MIN(N(薪資結構!G41),參數設定!$C$28))</f>
        <v/>
      </c>
      <c r="H41" s="45" t="str">
        <f aca="false">IF($A41="","",IF($C41="非居住者","—",參數設定!$C$21+$E41*參數設定!$C$22))</f>
        <v/>
      </c>
      <c r="I41" s="45" t="str">
        <f aca="false">IF($A41="","",IF($C41="非居住者",IF($G41&lt;=參數設定!$C$25,ROUND($G41*參數設定!$C$26,0),ROUND($G41*參數設定!$C$27,0)),IF(LEFT($D41,4)="固定5%",IF(ROUND($G41*參數設定!$C$23,0)&lt;=參數設定!$C$24,0,ROUND($G41*參數設定!$C$23,0)),IF($G41&lt;$H41,0,"查115年扣繳稅額表"))))</f>
        <v/>
      </c>
      <c r="J41" s="68" t="str">
        <f aca="false">IF($A41="","",TRIM(IF(員工清單!W41="","請補收免稅額申報表。","")&amp;IF(AND($C41&lt;&gt;"非居住者",員工清單!U41="依扣繳稅額表",ISNUMBER($H41),$G41&gt;=$H41)," 達起扣點：請依扶養"&amp;$E41&amp;"人欄查表後填入薪資總表V欄。","")))</f>
        <v/>
      </c>
    </row>
    <row r="42" customFormat="false" ht="15" hidden="false" customHeight="true" outlineLevel="0" collapsed="false">
      <c r="A42" s="66" t="str">
        <f aca="false">IF(員工清單!A42="","",員工清單!A42)</f>
        <v/>
      </c>
      <c r="B42" s="66" t="str">
        <f aca="false">IF($A42="","",員工清單!B42)</f>
        <v/>
      </c>
      <c r="C42" s="66" t="str">
        <f aca="false">IF($A42="","",IF(員工清單!T42="","居住者",員工清單!T42))</f>
        <v/>
      </c>
      <c r="D42" s="66" t="str">
        <f aca="false">IF($A42="","",IF($C42="非居住者","—(6%/18%)",IF(員工清單!U42="","固定5%(未填表)",員工清單!U42)))</f>
        <v/>
      </c>
      <c r="E42" s="66" t="str">
        <f aca="false">IF($A42="","",N(員工清單!V42))</f>
        <v/>
      </c>
      <c r="F42" s="67" t="str">
        <f aca="false">IF($A42="","",IF(員工清單!W42="","⚠未收件",員工清單!W42))</f>
        <v/>
      </c>
      <c r="G42" s="45" t="str">
        <f aca="false">IF($A42="","",薪資總表!M42-薪資總表!J42-薪資總表!L42-薪資總表!S42-MIN(N(薪資結構!G42),參數設定!$C$28))</f>
        <v/>
      </c>
      <c r="H42" s="45" t="str">
        <f aca="false">IF($A42="","",IF($C42="非居住者","—",參數設定!$C$21+$E42*參數設定!$C$22))</f>
        <v/>
      </c>
      <c r="I42" s="45" t="str">
        <f aca="false">IF($A42="","",IF($C42="非居住者",IF($G42&lt;=參數設定!$C$25,ROUND($G42*參數設定!$C$26,0),ROUND($G42*參數設定!$C$27,0)),IF(LEFT($D42,4)="固定5%",IF(ROUND($G42*參數設定!$C$23,0)&lt;=參數設定!$C$24,0,ROUND($G42*參數設定!$C$23,0)),IF($G42&lt;$H42,0,"查115年扣繳稅額表"))))</f>
        <v/>
      </c>
      <c r="J42" s="68" t="str">
        <f aca="false">IF($A42="","",TRIM(IF(員工清單!W42="","請補收免稅額申報表。","")&amp;IF(AND($C42&lt;&gt;"非居住者",員工清單!U42="依扣繳稅額表",ISNUMBER($H42),$G42&gt;=$H42)," 達起扣點：請依扶養"&amp;$E42&amp;"人欄查表後填入薪資總表V欄。","")))</f>
        <v/>
      </c>
    </row>
    <row r="43" customFormat="false" ht="15" hidden="false" customHeight="true" outlineLevel="0" collapsed="false">
      <c r="A43" s="66" t="str">
        <f aca="false">IF(員工清單!A43="","",員工清單!A43)</f>
        <v/>
      </c>
      <c r="B43" s="66" t="str">
        <f aca="false">IF($A43="","",員工清單!B43)</f>
        <v/>
      </c>
      <c r="C43" s="66" t="str">
        <f aca="false">IF($A43="","",IF(員工清單!T43="","居住者",員工清單!T43))</f>
        <v/>
      </c>
      <c r="D43" s="66" t="str">
        <f aca="false">IF($A43="","",IF($C43="非居住者","—(6%/18%)",IF(員工清單!U43="","固定5%(未填表)",員工清單!U43)))</f>
        <v/>
      </c>
      <c r="E43" s="66" t="str">
        <f aca="false">IF($A43="","",N(員工清單!V43))</f>
        <v/>
      </c>
      <c r="F43" s="67" t="str">
        <f aca="false">IF($A43="","",IF(員工清單!W43="","⚠未收件",員工清單!W43))</f>
        <v/>
      </c>
      <c r="G43" s="45" t="str">
        <f aca="false">IF($A43="","",薪資總表!M43-薪資總表!J43-薪資總表!L43-薪資總表!S43-MIN(N(薪資結構!G43),參數設定!$C$28))</f>
        <v/>
      </c>
      <c r="H43" s="45" t="str">
        <f aca="false">IF($A43="","",IF($C43="非居住者","—",參數設定!$C$21+$E43*參數設定!$C$22))</f>
        <v/>
      </c>
      <c r="I43" s="45" t="str">
        <f aca="false">IF($A43="","",IF($C43="非居住者",IF($G43&lt;=參數設定!$C$25,ROUND($G43*參數設定!$C$26,0),ROUND($G43*參數設定!$C$27,0)),IF(LEFT($D43,4)="固定5%",IF(ROUND($G43*參數設定!$C$23,0)&lt;=參數設定!$C$24,0,ROUND($G43*參數設定!$C$23,0)),IF($G43&lt;$H43,0,"查115年扣繳稅額表"))))</f>
        <v/>
      </c>
      <c r="J43" s="68" t="str">
        <f aca="false">IF($A43="","",TRIM(IF(員工清單!W43="","請補收免稅額申報表。","")&amp;IF(AND($C43&lt;&gt;"非居住者",員工清單!U43="依扣繳稅額表",ISNUMBER($H43),$G43&gt;=$H43)," 達起扣點：請依扶養"&amp;$E43&amp;"人欄查表後填入薪資總表V欄。","")))</f>
        <v/>
      </c>
    </row>
    <row r="44" customFormat="false" ht="15" hidden="false" customHeight="true" outlineLevel="0" collapsed="false">
      <c r="A44" s="66" t="str">
        <f aca="false">IF(員工清單!A44="","",員工清單!A44)</f>
        <v/>
      </c>
      <c r="B44" s="66" t="str">
        <f aca="false">IF($A44="","",員工清單!B44)</f>
        <v/>
      </c>
      <c r="C44" s="66" t="str">
        <f aca="false">IF($A44="","",IF(員工清單!T44="","居住者",員工清單!T44))</f>
        <v/>
      </c>
      <c r="D44" s="66" t="str">
        <f aca="false">IF($A44="","",IF($C44="非居住者","—(6%/18%)",IF(員工清單!U44="","固定5%(未填表)",員工清單!U44)))</f>
        <v/>
      </c>
      <c r="E44" s="66" t="str">
        <f aca="false">IF($A44="","",N(員工清單!V44))</f>
        <v/>
      </c>
      <c r="F44" s="67" t="str">
        <f aca="false">IF($A44="","",IF(員工清單!W44="","⚠未收件",員工清單!W44))</f>
        <v/>
      </c>
      <c r="G44" s="45" t="str">
        <f aca="false">IF($A44="","",薪資總表!M44-薪資總表!J44-薪資總表!L44-薪資總表!S44-MIN(N(薪資結構!G44),參數設定!$C$28))</f>
        <v/>
      </c>
      <c r="H44" s="45" t="str">
        <f aca="false">IF($A44="","",IF($C44="非居住者","—",參數設定!$C$21+$E44*參數設定!$C$22))</f>
        <v/>
      </c>
      <c r="I44" s="45" t="str">
        <f aca="false">IF($A44="","",IF($C44="非居住者",IF($G44&lt;=參數設定!$C$25,ROUND($G44*參數設定!$C$26,0),ROUND($G44*參數設定!$C$27,0)),IF(LEFT($D44,4)="固定5%",IF(ROUND($G44*參數設定!$C$23,0)&lt;=參數設定!$C$24,0,ROUND($G44*參數設定!$C$23,0)),IF($G44&lt;$H44,0,"查115年扣繳稅額表"))))</f>
        <v/>
      </c>
      <c r="J44" s="68" t="str">
        <f aca="false">IF($A44="","",TRIM(IF(員工清單!W44="","請補收免稅額申報表。","")&amp;IF(AND($C44&lt;&gt;"非居住者",員工清單!U44="依扣繳稅額表",ISNUMBER($H44),$G44&gt;=$H44)," 達起扣點：請依扶養"&amp;$E44&amp;"人欄查表後填入薪資總表V欄。","")))</f>
        <v/>
      </c>
    </row>
    <row r="45" customFormat="false" ht="15" hidden="false" customHeight="true" outlineLevel="0" collapsed="false">
      <c r="A45" s="66" t="str">
        <f aca="false">IF(員工清單!A45="","",員工清單!A45)</f>
        <v/>
      </c>
      <c r="B45" s="66" t="str">
        <f aca="false">IF($A45="","",員工清單!B45)</f>
        <v/>
      </c>
      <c r="C45" s="66" t="str">
        <f aca="false">IF($A45="","",IF(員工清單!T45="","居住者",員工清單!T45))</f>
        <v/>
      </c>
      <c r="D45" s="66" t="str">
        <f aca="false">IF($A45="","",IF($C45="非居住者","—(6%/18%)",IF(員工清單!U45="","固定5%(未填表)",員工清單!U45)))</f>
        <v/>
      </c>
      <c r="E45" s="66" t="str">
        <f aca="false">IF($A45="","",N(員工清單!V45))</f>
        <v/>
      </c>
      <c r="F45" s="67" t="str">
        <f aca="false">IF($A45="","",IF(員工清單!W45="","⚠未收件",員工清單!W45))</f>
        <v/>
      </c>
      <c r="G45" s="45" t="str">
        <f aca="false">IF($A45="","",薪資總表!M45-薪資總表!J45-薪資總表!L45-薪資總表!S45-MIN(N(薪資結構!G45),參數設定!$C$28))</f>
        <v/>
      </c>
      <c r="H45" s="45" t="str">
        <f aca="false">IF($A45="","",IF($C45="非居住者","—",參數設定!$C$21+$E45*參數設定!$C$22))</f>
        <v/>
      </c>
      <c r="I45" s="45" t="str">
        <f aca="false">IF($A45="","",IF($C45="非居住者",IF($G45&lt;=參數設定!$C$25,ROUND($G45*參數設定!$C$26,0),ROUND($G45*參數設定!$C$27,0)),IF(LEFT($D45,4)="固定5%",IF(ROUND($G45*參數設定!$C$23,0)&lt;=參數設定!$C$24,0,ROUND($G45*參數設定!$C$23,0)),IF($G45&lt;$H45,0,"查115年扣繳稅額表"))))</f>
        <v/>
      </c>
      <c r="J45" s="68" t="str">
        <f aca="false">IF($A45="","",TRIM(IF(員工清單!W45="","請補收免稅額申報表。","")&amp;IF(AND($C45&lt;&gt;"非居住者",員工清單!U45="依扣繳稅額表",ISNUMBER($H45),$G45&gt;=$H45)," 達起扣點：請依扶養"&amp;$E45&amp;"人欄查表後填入薪資總表V欄。","")))</f>
        <v/>
      </c>
    </row>
    <row r="46" customFormat="false" ht="15" hidden="false" customHeight="true" outlineLevel="0" collapsed="false">
      <c r="A46" s="66" t="str">
        <f aca="false">IF(員工清單!A46="","",員工清單!A46)</f>
        <v/>
      </c>
      <c r="B46" s="66" t="str">
        <f aca="false">IF($A46="","",員工清單!B46)</f>
        <v/>
      </c>
      <c r="C46" s="66" t="str">
        <f aca="false">IF($A46="","",IF(員工清單!T46="","居住者",員工清單!T46))</f>
        <v/>
      </c>
      <c r="D46" s="66" t="str">
        <f aca="false">IF($A46="","",IF($C46="非居住者","—(6%/18%)",IF(員工清單!U46="","固定5%(未填表)",員工清單!U46)))</f>
        <v/>
      </c>
      <c r="E46" s="66" t="str">
        <f aca="false">IF($A46="","",N(員工清單!V46))</f>
        <v/>
      </c>
      <c r="F46" s="67" t="str">
        <f aca="false">IF($A46="","",IF(員工清單!W46="","⚠未收件",員工清單!W46))</f>
        <v/>
      </c>
      <c r="G46" s="45" t="str">
        <f aca="false">IF($A46="","",薪資總表!M46-薪資總表!J46-薪資總表!L46-薪資總表!S46-MIN(N(薪資結構!G46),參數設定!$C$28))</f>
        <v/>
      </c>
      <c r="H46" s="45" t="str">
        <f aca="false">IF($A46="","",IF($C46="非居住者","—",參數設定!$C$21+$E46*參數設定!$C$22))</f>
        <v/>
      </c>
      <c r="I46" s="45" t="str">
        <f aca="false">IF($A46="","",IF($C46="非居住者",IF($G46&lt;=參數設定!$C$25,ROUND($G46*參數設定!$C$26,0),ROUND($G46*參數設定!$C$27,0)),IF(LEFT($D46,4)="固定5%",IF(ROUND($G46*參數設定!$C$23,0)&lt;=參數設定!$C$24,0,ROUND($G46*參數設定!$C$23,0)),IF($G46&lt;$H46,0,"查115年扣繳稅額表"))))</f>
        <v/>
      </c>
      <c r="J46" s="68" t="str">
        <f aca="false">IF($A46="","",TRIM(IF(員工清單!W46="","請補收免稅額申報表。","")&amp;IF(AND($C46&lt;&gt;"非居住者",員工清單!U46="依扣繳稅額表",ISNUMBER($H46),$G46&gt;=$H46)," 達起扣點：請依扶養"&amp;$E46&amp;"人欄查表後填入薪資總表V欄。","")))</f>
        <v/>
      </c>
    </row>
    <row r="47" customFormat="false" ht="15" hidden="false" customHeight="true" outlineLevel="0" collapsed="false">
      <c r="A47" s="66" t="str">
        <f aca="false">IF(員工清單!A47="","",員工清單!A47)</f>
        <v/>
      </c>
      <c r="B47" s="66" t="str">
        <f aca="false">IF($A47="","",員工清單!B47)</f>
        <v/>
      </c>
      <c r="C47" s="66" t="str">
        <f aca="false">IF($A47="","",IF(員工清單!T47="","居住者",員工清單!T47))</f>
        <v/>
      </c>
      <c r="D47" s="66" t="str">
        <f aca="false">IF($A47="","",IF($C47="非居住者","—(6%/18%)",IF(員工清單!U47="","固定5%(未填表)",員工清單!U47)))</f>
        <v/>
      </c>
      <c r="E47" s="66" t="str">
        <f aca="false">IF($A47="","",N(員工清單!V47))</f>
        <v/>
      </c>
      <c r="F47" s="67" t="str">
        <f aca="false">IF($A47="","",IF(員工清單!W47="","⚠未收件",員工清單!W47))</f>
        <v/>
      </c>
      <c r="G47" s="45" t="str">
        <f aca="false">IF($A47="","",薪資總表!M47-薪資總表!J47-薪資總表!L47-薪資總表!S47-MIN(N(薪資結構!G47),參數設定!$C$28))</f>
        <v/>
      </c>
      <c r="H47" s="45" t="str">
        <f aca="false">IF($A47="","",IF($C47="非居住者","—",參數設定!$C$21+$E47*參數設定!$C$22))</f>
        <v/>
      </c>
      <c r="I47" s="45" t="str">
        <f aca="false">IF($A47="","",IF($C47="非居住者",IF($G47&lt;=參數設定!$C$25,ROUND($G47*參數設定!$C$26,0),ROUND($G47*參數設定!$C$27,0)),IF(LEFT($D47,4)="固定5%",IF(ROUND($G47*參數設定!$C$23,0)&lt;=參數設定!$C$24,0,ROUND($G47*參數設定!$C$23,0)),IF($G47&lt;$H47,0,"查115年扣繳稅額表"))))</f>
        <v/>
      </c>
      <c r="J47" s="68" t="str">
        <f aca="false">IF($A47="","",TRIM(IF(員工清單!W47="","請補收免稅額申報表。","")&amp;IF(AND($C47&lt;&gt;"非居住者",員工清單!U47="依扣繳稅額表",ISNUMBER($H47),$G47&gt;=$H47)," 達起扣點：請依扶養"&amp;$E47&amp;"人欄查表後填入薪資總表V欄。","")))</f>
        <v/>
      </c>
    </row>
    <row r="48" customFormat="false" ht="15" hidden="false" customHeight="true" outlineLevel="0" collapsed="false">
      <c r="A48" s="66" t="str">
        <f aca="false">IF(員工清單!A48="","",員工清單!A48)</f>
        <v/>
      </c>
      <c r="B48" s="66" t="str">
        <f aca="false">IF($A48="","",員工清單!B48)</f>
        <v/>
      </c>
      <c r="C48" s="66" t="str">
        <f aca="false">IF($A48="","",IF(員工清單!T48="","居住者",員工清單!T48))</f>
        <v/>
      </c>
      <c r="D48" s="66" t="str">
        <f aca="false">IF($A48="","",IF($C48="非居住者","—(6%/18%)",IF(員工清單!U48="","固定5%(未填表)",員工清單!U48)))</f>
        <v/>
      </c>
      <c r="E48" s="66" t="str">
        <f aca="false">IF($A48="","",N(員工清單!V48))</f>
        <v/>
      </c>
      <c r="F48" s="67" t="str">
        <f aca="false">IF($A48="","",IF(員工清單!W48="","⚠未收件",員工清單!W48))</f>
        <v/>
      </c>
      <c r="G48" s="45" t="str">
        <f aca="false">IF($A48="","",薪資總表!M48-薪資總表!J48-薪資總表!L48-薪資總表!S48-MIN(N(薪資結構!G48),參數設定!$C$28))</f>
        <v/>
      </c>
      <c r="H48" s="45" t="str">
        <f aca="false">IF($A48="","",IF($C48="非居住者","—",參數設定!$C$21+$E48*參數設定!$C$22))</f>
        <v/>
      </c>
      <c r="I48" s="45" t="str">
        <f aca="false">IF($A48="","",IF($C48="非居住者",IF($G48&lt;=參數設定!$C$25,ROUND($G48*參數設定!$C$26,0),ROUND($G48*參數設定!$C$27,0)),IF(LEFT($D48,4)="固定5%",IF(ROUND($G48*參數設定!$C$23,0)&lt;=參數設定!$C$24,0,ROUND($G48*參數設定!$C$23,0)),IF($G48&lt;$H48,0,"查115年扣繳稅額表"))))</f>
        <v/>
      </c>
      <c r="J48" s="68" t="str">
        <f aca="false">IF($A48="","",TRIM(IF(員工清單!W48="","請補收免稅額申報表。","")&amp;IF(AND($C48&lt;&gt;"非居住者",員工清單!U48="依扣繳稅額表",ISNUMBER($H48),$G48&gt;=$H48)," 達起扣點：請依扶養"&amp;$E48&amp;"人欄查表後填入薪資總表V欄。","")))</f>
        <v/>
      </c>
    </row>
    <row r="49" customFormat="false" ht="15" hidden="false" customHeight="true" outlineLevel="0" collapsed="false">
      <c r="A49" s="66" t="str">
        <f aca="false">IF(員工清單!A49="","",員工清單!A49)</f>
        <v/>
      </c>
      <c r="B49" s="66" t="str">
        <f aca="false">IF($A49="","",員工清單!B49)</f>
        <v/>
      </c>
      <c r="C49" s="66" t="str">
        <f aca="false">IF($A49="","",IF(員工清單!T49="","居住者",員工清單!T49))</f>
        <v/>
      </c>
      <c r="D49" s="66" t="str">
        <f aca="false">IF($A49="","",IF($C49="非居住者","—(6%/18%)",IF(員工清單!U49="","固定5%(未填表)",員工清單!U49)))</f>
        <v/>
      </c>
      <c r="E49" s="66" t="str">
        <f aca="false">IF($A49="","",N(員工清單!V49))</f>
        <v/>
      </c>
      <c r="F49" s="67" t="str">
        <f aca="false">IF($A49="","",IF(員工清單!W49="","⚠未收件",員工清單!W49))</f>
        <v/>
      </c>
      <c r="G49" s="45" t="str">
        <f aca="false">IF($A49="","",薪資總表!M49-薪資總表!J49-薪資總表!L49-薪資總表!S49-MIN(N(薪資結構!G49),參數設定!$C$28))</f>
        <v/>
      </c>
      <c r="H49" s="45" t="str">
        <f aca="false">IF($A49="","",IF($C49="非居住者","—",參數設定!$C$21+$E49*參數設定!$C$22))</f>
        <v/>
      </c>
      <c r="I49" s="45" t="str">
        <f aca="false">IF($A49="","",IF($C49="非居住者",IF($G49&lt;=參數設定!$C$25,ROUND($G49*參數設定!$C$26,0),ROUND($G49*參數設定!$C$27,0)),IF(LEFT($D49,4)="固定5%",IF(ROUND($G49*參數設定!$C$23,0)&lt;=參數設定!$C$24,0,ROUND($G49*參數設定!$C$23,0)),IF($G49&lt;$H49,0,"查115年扣繳稅額表"))))</f>
        <v/>
      </c>
      <c r="J49" s="68" t="str">
        <f aca="false">IF($A49="","",TRIM(IF(員工清單!W49="","請補收免稅額申報表。","")&amp;IF(AND($C49&lt;&gt;"非居住者",員工清單!U49="依扣繳稅額表",ISNUMBER($H49),$G49&gt;=$H49)," 達起扣點：請依扶養"&amp;$E49&amp;"人欄查表後填入薪資總表V欄。","")))</f>
        <v/>
      </c>
    </row>
    <row r="50" customFormat="false" ht="15" hidden="false" customHeight="true" outlineLevel="0" collapsed="false">
      <c r="A50" s="66" t="str">
        <f aca="false">IF(員工清單!A50="","",員工清單!A50)</f>
        <v/>
      </c>
      <c r="B50" s="66" t="str">
        <f aca="false">IF($A50="","",員工清單!B50)</f>
        <v/>
      </c>
      <c r="C50" s="66" t="str">
        <f aca="false">IF($A50="","",IF(員工清單!T50="","居住者",員工清單!T50))</f>
        <v/>
      </c>
      <c r="D50" s="66" t="str">
        <f aca="false">IF($A50="","",IF($C50="非居住者","—(6%/18%)",IF(員工清單!U50="","固定5%(未填表)",員工清單!U50)))</f>
        <v/>
      </c>
      <c r="E50" s="66" t="str">
        <f aca="false">IF($A50="","",N(員工清單!V50))</f>
        <v/>
      </c>
      <c r="F50" s="67" t="str">
        <f aca="false">IF($A50="","",IF(員工清單!W50="","⚠未收件",員工清單!W50))</f>
        <v/>
      </c>
      <c r="G50" s="45" t="str">
        <f aca="false">IF($A50="","",薪資總表!M50-薪資總表!J50-薪資總表!L50-薪資總表!S50-MIN(N(薪資結構!G50),參數設定!$C$28))</f>
        <v/>
      </c>
      <c r="H50" s="45" t="str">
        <f aca="false">IF($A50="","",IF($C50="非居住者","—",參數設定!$C$21+$E50*參數設定!$C$22))</f>
        <v/>
      </c>
      <c r="I50" s="45" t="str">
        <f aca="false">IF($A50="","",IF($C50="非居住者",IF($G50&lt;=參數設定!$C$25,ROUND($G50*參數設定!$C$26,0),ROUND($G50*參數設定!$C$27,0)),IF(LEFT($D50,4)="固定5%",IF(ROUND($G50*參數設定!$C$23,0)&lt;=參數設定!$C$24,0,ROUND($G50*參數設定!$C$23,0)),IF($G50&lt;$H50,0,"查115年扣繳稅額表"))))</f>
        <v/>
      </c>
      <c r="J50" s="68" t="str">
        <f aca="false">IF($A50="","",TRIM(IF(員工清單!W50="","請補收免稅額申報表。","")&amp;IF(AND($C50&lt;&gt;"非居住者",員工清單!U50="依扣繳稅額表",ISNUMBER($H50),$G50&gt;=$H50)," 達起扣點：請依扶養"&amp;$E50&amp;"人欄查表後填入薪資總表V欄。","")))</f>
        <v/>
      </c>
    </row>
    <row r="51" customFormat="false" ht="15" hidden="false" customHeight="true" outlineLevel="0" collapsed="false">
      <c r="A51" s="66" t="str">
        <f aca="false">IF(員工清單!A51="","",員工清單!A51)</f>
        <v/>
      </c>
      <c r="B51" s="66" t="str">
        <f aca="false">IF($A51="","",員工清單!B51)</f>
        <v/>
      </c>
      <c r="C51" s="66" t="str">
        <f aca="false">IF($A51="","",IF(員工清單!T51="","居住者",員工清單!T51))</f>
        <v/>
      </c>
      <c r="D51" s="66" t="str">
        <f aca="false">IF($A51="","",IF($C51="非居住者","—(6%/18%)",IF(員工清單!U51="","固定5%(未填表)",員工清單!U51)))</f>
        <v/>
      </c>
      <c r="E51" s="66" t="str">
        <f aca="false">IF($A51="","",N(員工清單!V51))</f>
        <v/>
      </c>
      <c r="F51" s="67" t="str">
        <f aca="false">IF($A51="","",IF(員工清單!W51="","⚠未收件",員工清單!W51))</f>
        <v/>
      </c>
      <c r="G51" s="45" t="str">
        <f aca="false">IF($A51="","",薪資總表!M51-薪資總表!J51-薪資總表!L51-薪資總表!S51-MIN(N(薪資結構!G51),參數設定!$C$28))</f>
        <v/>
      </c>
      <c r="H51" s="45" t="str">
        <f aca="false">IF($A51="","",IF($C51="非居住者","—",參數設定!$C$21+$E51*參數設定!$C$22))</f>
        <v/>
      </c>
      <c r="I51" s="45" t="str">
        <f aca="false">IF($A51="","",IF($C51="非居住者",IF($G51&lt;=參數設定!$C$25,ROUND($G51*參數設定!$C$26,0),ROUND($G51*參數設定!$C$27,0)),IF(LEFT($D51,4)="固定5%",IF(ROUND($G51*參數設定!$C$23,0)&lt;=參數設定!$C$24,0,ROUND($G51*參數設定!$C$23,0)),IF($G51&lt;$H51,0,"查115年扣繳稅額表"))))</f>
        <v/>
      </c>
      <c r="J51" s="68" t="str">
        <f aca="false">IF($A51="","",TRIM(IF(員工清單!W51="","請補收免稅額申報表。","")&amp;IF(AND($C51&lt;&gt;"非居住者",員工清單!U51="依扣繳稅額表",ISNUMBER($H51),$G51&gt;=$H51)," 達起扣點：請依扶養"&amp;$E51&amp;"人欄查表後填入薪資總表V欄。","")))</f>
        <v/>
      </c>
    </row>
    <row r="52" customFormat="false" ht="15" hidden="false" customHeight="true" outlineLevel="0" collapsed="false">
      <c r="A52" s="66" t="str">
        <f aca="false">IF(員工清單!A52="","",員工清單!A52)</f>
        <v/>
      </c>
      <c r="B52" s="66" t="str">
        <f aca="false">IF($A52="","",員工清單!B52)</f>
        <v/>
      </c>
      <c r="C52" s="66" t="str">
        <f aca="false">IF($A52="","",IF(員工清單!T52="","居住者",員工清單!T52))</f>
        <v/>
      </c>
      <c r="D52" s="66" t="str">
        <f aca="false">IF($A52="","",IF($C52="非居住者","—(6%/18%)",IF(員工清單!U52="","固定5%(未填表)",員工清單!U52)))</f>
        <v/>
      </c>
      <c r="E52" s="66" t="str">
        <f aca="false">IF($A52="","",N(員工清單!V52))</f>
        <v/>
      </c>
      <c r="F52" s="67" t="str">
        <f aca="false">IF($A52="","",IF(員工清單!W52="","⚠未收件",員工清單!W52))</f>
        <v/>
      </c>
      <c r="G52" s="45" t="str">
        <f aca="false">IF($A52="","",薪資總表!M52-薪資總表!J52-薪資總表!L52-薪資總表!S52-MIN(N(薪資結構!G52),參數設定!$C$28))</f>
        <v/>
      </c>
      <c r="H52" s="45" t="str">
        <f aca="false">IF($A52="","",IF($C52="非居住者","—",參數設定!$C$21+$E52*參數設定!$C$22))</f>
        <v/>
      </c>
      <c r="I52" s="45" t="str">
        <f aca="false">IF($A52="","",IF($C52="非居住者",IF($G52&lt;=參數設定!$C$25,ROUND($G52*參數設定!$C$26,0),ROUND($G52*參數設定!$C$27,0)),IF(LEFT($D52,4)="固定5%",IF(ROUND($G52*參數設定!$C$23,0)&lt;=參數設定!$C$24,0,ROUND($G52*參數設定!$C$23,0)),IF($G52&lt;$H52,0,"查115年扣繳稅額表"))))</f>
        <v/>
      </c>
      <c r="J52" s="68" t="str">
        <f aca="false">IF($A52="","",TRIM(IF(員工清單!W52="","請補收免稅額申報表。","")&amp;IF(AND($C52&lt;&gt;"非居住者",員工清單!U52="依扣繳稅額表",ISNUMBER($H52),$G52&gt;=$H52)," 達起扣點：請依扶養"&amp;$E52&amp;"人欄查表後填入薪資總表V欄。","")))</f>
        <v/>
      </c>
    </row>
    <row r="53" customFormat="false" ht="15" hidden="false" customHeight="true" outlineLevel="0" collapsed="false">
      <c r="A53" s="66" t="str">
        <f aca="false">IF(員工清單!A53="","",員工清單!A53)</f>
        <v/>
      </c>
      <c r="B53" s="66" t="str">
        <f aca="false">IF($A53="","",員工清單!B53)</f>
        <v/>
      </c>
      <c r="C53" s="66" t="str">
        <f aca="false">IF($A53="","",IF(員工清單!T53="","居住者",員工清單!T53))</f>
        <v/>
      </c>
      <c r="D53" s="66" t="str">
        <f aca="false">IF($A53="","",IF($C53="非居住者","—(6%/18%)",IF(員工清單!U53="","固定5%(未填表)",員工清單!U53)))</f>
        <v/>
      </c>
      <c r="E53" s="66" t="str">
        <f aca="false">IF($A53="","",N(員工清單!V53))</f>
        <v/>
      </c>
      <c r="F53" s="67" t="str">
        <f aca="false">IF($A53="","",IF(員工清單!W53="","⚠未收件",員工清單!W53))</f>
        <v/>
      </c>
      <c r="G53" s="45" t="str">
        <f aca="false">IF($A53="","",薪資總表!M53-薪資總表!J53-薪資總表!L53-薪資總表!S53-MIN(N(薪資結構!G53),參數設定!$C$28))</f>
        <v/>
      </c>
      <c r="H53" s="45" t="str">
        <f aca="false">IF($A53="","",IF($C53="非居住者","—",參數設定!$C$21+$E53*參數設定!$C$22))</f>
        <v/>
      </c>
      <c r="I53" s="45" t="str">
        <f aca="false">IF($A53="","",IF($C53="非居住者",IF($G53&lt;=參數設定!$C$25,ROUND($G53*參數設定!$C$26,0),ROUND($G53*參數設定!$C$27,0)),IF(LEFT($D53,4)="固定5%",IF(ROUND($G53*參數設定!$C$23,0)&lt;=參數設定!$C$24,0,ROUND($G53*參數設定!$C$23,0)),IF($G53&lt;$H53,0,"查115年扣繳稅額表"))))</f>
        <v/>
      </c>
      <c r="J53" s="68" t="str">
        <f aca="false">IF($A53="","",TRIM(IF(員工清單!W53="","請補收免稅額申報表。","")&amp;IF(AND($C53&lt;&gt;"非居住者",員工清單!U53="依扣繳稅額表",ISNUMBER($H53),$G53&gt;=$H53)," 達起扣點：請依扶養"&amp;$E53&amp;"人欄查表後填入薪資總表V欄。","")))</f>
        <v/>
      </c>
    </row>
    <row r="55" customFormat="false" ht="15" hidden="false" customHeight="true" outlineLevel="0" collapsed="false">
      <c r="A55" s="13" t="s">
        <v>567</v>
      </c>
      <c r="B55" s="13"/>
      <c r="C55" s="13"/>
      <c r="D55" s="13"/>
      <c r="E55" s="13"/>
      <c r="F55" s="13"/>
      <c r="G55" s="13"/>
      <c r="H55" s="13"/>
      <c r="I55" s="13"/>
      <c r="J55" s="13"/>
    </row>
    <row r="56" customFormat="false" ht="15" hidden="false" customHeight="true" outlineLevel="0" collapsed="false">
      <c r="A56" s="13" t="s">
        <v>568</v>
      </c>
      <c r="B56" s="13"/>
      <c r="C56" s="13"/>
      <c r="D56" s="13"/>
      <c r="E56" s="13"/>
      <c r="F56" s="13"/>
      <c r="G56" s="13"/>
      <c r="H56" s="13"/>
      <c r="I56" s="13"/>
      <c r="J56" s="13"/>
    </row>
    <row r="57" customFormat="false" ht="15" hidden="false" customHeight="true" outlineLevel="0" collapsed="false">
      <c r="A57" s="13" t="s">
        <v>569</v>
      </c>
      <c r="B57" s="13"/>
      <c r="C57" s="13"/>
      <c r="D57" s="13"/>
      <c r="E57" s="13"/>
      <c r="F57" s="13"/>
      <c r="G57" s="13"/>
      <c r="H57" s="13"/>
      <c r="I57" s="13"/>
      <c r="J57" s="13"/>
    </row>
  </sheetData>
  <mergeCells count="5">
    <mergeCell ref="A1:J1"/>
    <mergeCell ref="A2:J2"/>
    <mergeCell ref="A55:J55"/>
    <mergeCell ref="A56:J56"/>
    <mergeCell ref="A57:J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E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9"/>
    <col collapsed="false" customWidth="true" hidden="false" outlineLevel="0" max="31" min="4" style="1" width="11.5"/>
  </cols>
  <sheetData>
    <row r="1" customFormat="false" ht="142.5" hidden="false" customHeight="true" outlineLevel="0" collapsed="false">
      <c r="A1" s="69" t="s">
        <v>570</v>
      </c>
      <c r="B1" s="70" t="s">
        <v>571</v>
      </c>
      <c r="D1" s="71" t="s">
        <v>572</v>
      </c>
    </row>
    <row r="2" customFormat="false" ht="15" hidden="false" customHeight="true" outlineLevel="0" collapsed="false">
      <c r="A2" s="72" t="s">
        <v>573</v>
      </c>
      <c r="B2" s="72"/>
      <c r="C2" s="72"/>
      <c r="D2" s="72"/>
      <c r="E2" s="73" t="s">
        <v>574</v>
      </c>
      <c r="F2" s="73"/>
      <c r="G2" s="73"/>
      <c r="H2" s="73"/>
      <c r="I2" s="73"/>
      <c r="J2" s="73"/>
      <c r="K2" s="73"/>
      <c r="L2" s="73"/>
      <c r="M2" s="73"/>
      <c r="N2" s="74" t="s">
        <v>575</v>
      </c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2" t="s">
        <v>576</v>
      </c>
      <c r="AA2" s="72"/>
      <c r="AB2" s="72"/>
      <c r="AC2" s="72"/>
      <c r="AD2" s="72"/>
      <c r="AE2" s="72"/>
    </row>
    <row r="3" customFormat="false" ht="39.75" hidden="false" customHeight="true" outlineLevel="0" collapsed="false">
      <c r="A3" s="24" t="s">
        <v>59</v>
      </c>
      <c r="B3" s="24" t="s">
        <v>63</v>
      </c>
      <c r="C3" s="24" t="s">
        <v>66</v>
      </c>
      <c r="D3" s="24" t="s">
        <v>85</v>
      </c>
      <c r="E3" s="50" t="s">
        <v>577</v>
      </c>
      <c r="F3" s="50" t="s">
        <v>578</v>
      </c>
      <c r="G3" s="50" t="s">
        <v>579</v>
      </c>
      <c r="H3" s="50" t="s">
        <v>580</v>
      </c>
      <c r="I3" s="50" t="s">
        <v>581</v>
      </c>
      <c r="J3" s="24" t="s">
        <v>184</v>
      </c>
      <c r="K3" s="50" t="s">
        <v>186</v>
      </c>
      <c r="L3" s="50" t="s">
        <v>188</v>
      </c>
      <c r="M3" s="24" t="s">
        <v>190</v>
      </c>
      <c r="N3" s="50" t="s">
        <v>192</v>
      </c>
      <c r="O3" s="50" t="s">
        <v>194</v>
      </c>
      <c r="P3" s="24" t="s">
        <v>196</v>
      </c>
      <c r="Q3" s="24" t="s">
        <v>582</v>
      </c>
      <c r="R3" s="24" t="s">
        <v>583</v>
      </c>
      <c r="S3" s="24" t="s">
        <v>202</v>
      </c>
      <c r="T3" s="50" t="s">
        <v>584</v>
      </c>
      <c r="U3" s="24" t="s">
        <v>206</v>
      </c>
      <c r="V3" s="50" t="s">
        <v>208</v>
      </c>
      <c r="W3" s="50" t="s">
        <v>210</v>
      </c>
      <c r="X3" s="24" t="s">
        <v>213</v>
      </c>
      <c r="Y3" s="24" t="s">
        <v>216</v>
      </c>
      <c r="Z3" s="24" t="s">
        <v>585</v>
      </c>
      <c r="AA3" s="24" t="s">
        <v>586</v>
      </c>
      <c r="AB3" s="24" t="s">
        <v>587</v>
      </c>
      <c r="AC3" s="24" t="s">
        <v>588</v>
      </c>
      <c r="AD3" s="24" t="s">
        <v>589</v>
      </c>
      <c r="AE3" s="24" t="s">
        <v>590</v>
      </c>
    </row>
    <row r="4" customFormat="false" ht="15" hidden="false" customHeight="true" outlineLevel="0" collapsed="false">
      <c r="A4" s="75" t="str">
        <f aca="false">IF(員工清單!A4="","",員工清單!A4)</f>
        <v>E001</v>
      </c>
      <c r="B4" s="75" t="str">
        <f aca="false">IF($A4="","",員工清單!B4)</f>
        <v>王小明</v>
      </c>
      <c r="C4" s="75" t="str">
        <f aca="false">IF($A4="","",員工清單!C4)</f>
        <v>資訊部</v>
      </c>
      <c r="D4" s="76" t="n">
        <f aca="false">IF($A4="","",員工清單!I4)</f>
        <v>65000</v>
      </c>
      <c r="E4" s="77" t="n">
        <v>6</v>
      </c>
      <c r="F4" s="77"/>
      <c r="G4" s="77"/>
      <c r="H4" s="77"/>
      <c r="I4" s="77"/>
      <c r="J4" s="45" t="n">
        <f aca="false">IF($A4="","",ROUND($D4/參數設定!$C$19*(E4*4/3+F4*5/3+G4*4/3+H4*5/3+I4),0))</f>
        <v>2167</v>
      </c>
      <c r="K4" s="33"/>
      <c r="L4" s="33" t="n">
        <v>0</v>
      </c>
      <c r="M4" s="48" t="n">
        <f aca="false">IF($A4="","",ROUND(D4+J4+K4+L4,0))</f>
        <v>67167</v>
      </c>
      <c r="N4" s="77"/>
      <c r="O4" s="77"/>
      <c r="P4" s="45" t="n">
        <f aca="false">IF($A4="","",ROUND($D4/參數設定!$C$19*(N4+O4*0.5),0))</f>
        <v>0</v>
      </c>
      <c r="Q4" s="45" t="n">
        <f aca="false">IF($A4="","",ROUND(員工清單!J4*參數設定!$C$8*參數設定!$C$9,0))</f>
        <v>1145</v>
      </c>
      <c r="R4" s="45" t="n">
        <f aca="false">IF($A4="","",ROUND(員工清單!L4*參數設定!$C$12*參數設定!$C$13,0)*(1+員工清單!O4))</f>
        <v>2072</v>
      </c>
      <c r="S4" s="45" t="n">
        <f aca="false">IF($A4="","",ROUND(員工清單!M4*N(員工清單!P4),0))</f>
        <v>4008</v>
      </c>
      <c r="T4" s="33" t="n">
        <v>0</v>
      </c>
      <c r="U4" s="45" t="n">
        <f aca="false">IF($A4="","",ROUND(MIN(N(L4),MAX(0,N(T4)-員工清單!L4*4))*參數設定!$C$18,0))</f>
        <v>0</v>
      </c>
      <c r="V4" s="33"/>
      <c r="W4" s="33"/>
      <c r="X4" s="48" t="n">
        <f aca="false">IF($A4="","",P4+Q4+R4+S4+U4+V4+W4)</f>
        <v>7225</v>
      </c>
      <c r="Y4" s="78" t="n">
        <f aca="false">IF($A4="","",M4-X4)</f>
        <v>59942</v>
      </c>
      <c r="Z4" s="45" t="n">
        <f aca="false">IF($A4="","",ROUND(員工清單!J4*參數設定!$C$8*參數設定!$C$10,0))</f>
        <v>4007</v>
      </c>
      <c r="AA4" s="45" t="n">
        <f aca="false">IF($A4="","",ROUND(員工清單!K4*參數設定!$C$11,0))</f>
        <v>140</v>
      </c>
      <c r="AB4" s="45" t="n">
        <f aca="false">IF($A4="","",ROUND(員工清單!L4*參數設定!$C$12*參數設定!$C$14*(1+參數設定!$C$15),0))</f>
        <v>3233</v>
      </c>
      <c r="AC4" s="45" t="n">
        <f aca="false">IF($A4="","",ROUND(員工清單!M4*參數設定!$C$17,0))</f>
        <v>4008</v>
      </c>
      <c r="AD4" s="48" t="n">
        <f aca="false">IF($A4="","",Z4+AA4+AB4+AC4)</f>
        <v>11388</v>
      </c>
      <c r="AE4" s="48" t="n">
        <f aca="false">IF($A4="","",M4+AD4)</f>
        <v>78555</v>
      </c>
    </row>
    <row r="5" customFormat="false" ht="15" hidden="false" customHeight="true" outlineLevel="0" collapsed="false">
      <c r="A5" s="75" t="str">
        <f aca="false">IF(員工清單!A5="","",員工清單!A5)</f>
        <v>E002</v>
      </c>
      <c r="B5" s="75" t="str">
        <f aca="false">IF($A5="","",員工清單!B5)</f>
        <v>李美華</v>
      </c>
      <c r="C5" s="75" t="str">
        <f aca="false">IF($A5="","",員工清單!C5)</f>
        <v>行政部</v>
      </c>
      <c r="D5" s="76" t="n">
        <f aca="false">IF($A5="","",員工清單!I5)</f>
        <v>36000</v>
      </c>
      <c r="E5" s="77" t="n">
        <v>2</v>
      </c>
      <c r="F5" s="77"/>
      <c r="G5" s="77" t="n">
        <v>4</v>
      </c>
      <c r="H5" s="77"/>
      <c r="I5" s="77"/>
      <c r="J5" s="45" t="n">
        <f aca="false">IF($A5="","",ROUND($D5/參數設定!$C$19*(E5*4/3+F5*5/3+G5*4/3+H5*5/3+I5),0))</f>
        <v>1200</v>
      </c>
      <c r="K5" s="33"/>
      <c r="L5" s="33"/>
      <c r="M5" s="48" t="n">
        <f aca="false">IF($A5="","",ROUND(D5+J5+K5+L5,0))</f>
        <v>37200</v>
      </c>
      <c r="N5" s="77"/>
      <c r="O5" s="77"/>
      <c r="P5" s="45" t="n">
        <f aca="false">IF($A5="","",ROUND($D5/參數設定!$C$19*(N5+O5*0.5),0))</f>
        <v>0</v>
      </c>
      <c r="Q5" s="45" t="n">
        <f aca="false">IF($A5="","",ROUND(員工清單!J5*參數設定!$C$8*參數設定!$C$9,0))</f>
        <v>908</v>
      </c>
      <c r="R5" s="45" t="n">
        <f aca="false">IF($A5="","",ROUND(員工清單!L5*參數設定!$C$12*參數設定!$C$13,0)*(1+員工清單!O5))</f>
        <v>563</v>
      </c>
      <c r="S5" s="45" t="n">
        <f aca="false">IF($A5="","",ROUND(員工清單!M5*N(員工清單!P5),0))</f>
        <v>0</v>
      </c>
      <c r="T5" s="33"/>
      <c r="U5" s="45" t="n">
        <f aca="false">IF($A5="","",ROUND(MIN(N(L5),MAX(0,N(T5)-員工清單!L5*4))*參數設定!$C$18,0))</f>
        <v>0</v>
      </c>
      <c r="V5" s="33"/>
      <c r="W5" s="33"/>
      <c r="X5" s="48" t="n">
        <f aca="false">IF($A5="","",P5+Q5+R5+S5+U5+V5+W5)</f>
        <v>1471</v>
      </c>
      <c r="Y5" s="78" t="n">
        <f aca="false">IF($A5="","",M5-X5)</f>
        <v>35729</v>
      </c>
      <c r="Z5" s="45" t="n">
        <f aca="false">IF($A5="","",ROUND(員工清單!J5*參數設定!$C$8*參數設定!$C$10,0))</f>
        <v>3176</v>
      </c>
      <c r="AA5" s="45" t="n">
        <f aca="false">IF($A5="","",ROUND(員工清單!K5*參數設定!$C$11,0))</f>
        <v>76</v>
      </c>
      <c r="AB5" s="45" t="n">
        <f aca="false">IF($A5="","",ROUND(員工清單!L5*參數設定!$C$12*參數設定!$C$14*(1+參數設定!$C$15),0))</f>
        <v>1757</v>
      </c>
      <c r="AC5" s="45" t="n">
        <f aca="false">IF($A5="","",ROUND(員工清單!M5*參數設定!$C$17,0))</f>
        <v>2178</v>
      </c>
      <c r="AD5" s="48" t="n">
        <f aca="false">IF($A5="","",Z5+AA5+AB5+AC5)</f>
        <v>7187</v>
      </c>
      <c r="AE5" s="48" t="n">
        <f aca="false">IF($A5="","",M5+AD5)</f>
        <v>44387</v>
      </c>
    </row>
    <row r="6" customFormat="false" ht="15" hidden="false" customHeight="true" outlineLevel="0" collapsed="false">
      <c r="A6" s="75" t="str">
        <f aca="false">IF(員工清單!A6="","",員工清單!A6)</f>
        <v>E003</v>
      </c>
      <c r="B6" s="75" t="str">
        <f aca="false">IF($A6="","",員工清單!B6)</f>
        <v>張志豪</v>
      </c>
      <c r="C6" s="75" t="str">
        <f aca="false">IF($A6="","",員工清單!C6)</f>
        <v>業務部</v>
      </c>
      <c r="D6" s="76" t="n">
        <f aca="false">IF($A6="","",員工清單!I6)</f>
        <v>85000</v>
      </c>
      <c r="E6" s="77"/>
      <c r="F6" s="77"/>
      <c r="G6" s="77"/>
      <c r="H6" s="77"/>
      <c r="I6" s="77"/>
      <c r="J6" s="45" t="n">
        <f aca="false">IF($A6="","",ROUND($D6/參數設定!$C$19*(E6*4/3+F6*5/3+G6*4/3+H6*5/3+I6),0))</f>
        <v>0</v>
      </c>
      <c r="K6" s="33"/>
      <c r="L6" s="33" t="n">
        <v>50000</v>
      </c>
      <c r="M6" s="48" t="n">
        <f aca="false">IF($A6="","",ROUND(D6+J6+K6+L6,0))</f>
        <v>135000</v>
      </c>
      <c r="N6" s="77"/>
      <c r="O6" s="77"/>
      <c r="P6" s="45" t="n">
        <f aca="false">IF($A6="","",ROUND($D6/參數設定!$C$19*(N6+O6*0.5),0))</f>
        <v>0</v>
      </c>
      <c r="Q6" s="45" t="n">
        <f aca="false">IF($A6="","",ROUND(員工清單!J6*參數設定!$C$8*參數設定!$C$9,0))</f>
        <v>1145</v>
      </c>
      <c r="R6" s="45" t="n">
        <f aca="false">IF($A6="","",ROUND(員工清單!L6*參數設定!$C$12*參數設定!$C$13,0)*(1+員工清單!O6))</f>
        <v>4077</v>
      </c>
      <c r="S6" s="45" t="n">
        <f aca="false">IF($A6="","",ROUND(員工清單!M6*N(員工清單!P6),0))</f>
        <v>2628</v>
      </c>
      <c r="T6" s="33" t="n">
        <v>50000</v>
      </c>
      <c r="U6" s="45" t="n">
        <f aca="false">IF($A6="","",ROUND(MIN(N(L6),MAX(0,N(T6)-員工清單!L6*4))*參數設定!$C$18,0))</f>
        <v>0</v>
      </c>
      <c r="V6" s="33"/>
      <c r="W6" s="33"/>
      <c r="X6" s="48" t="n">
        <f aca="false">IF($A6="","",P6+Q6+R6+S6+U6+V6+W6)</f>
        <v>7850</v>
      </c>
      <c r="Y6" s="78" t="n">
        <f aca="false">IF($A6="","",M6-X6)</f>
        <v>127150</v>
      </c>
      <c r="Z6" s="45" t="n">
        <f aca="false">IF($A6="","",ROUND(員工清單!J6*參數設定!$C$8*參數設定!$C$10,0))</f>
        <v>4007</v>
      </c>
      <c r="AA6" s="45" t="n">
        <f aca="false">IF($A6="","",ROUND(員工清單!K6*參數設定!$C$11,0))</f>
        <v>153</v>
      </c>
      <c r="AB6" s="45" t="n">
        <f aca="false">IF($A6="","",ROUND(員工清單!L6*參數設定!$C$12*參數設定!$C$14*(1+參數設定!$C$15),0))</f>
        <v>4239</v>
      </c>
      <c r="AC6" s="45" t="n">
        <f aca="false">IF($A6="","",ROUND(員工清單!M6*參數設定!$C$17,0))</f>
        <v>5256</v>
      </c>
      <c r="AD6" s="48" t="n">
        <f aca="false">IF($A6="","",Z6+AA6+AB6+AC6)</f>
        <v>13655</v>
      </c>
      <c r="AE6" s="48" t="n">
        <f aca="false">IF($A6="","",M6+AD6)</f>
        <v>148655</v>
      </c>
    </row>
    <row r="7" customFormat="false" ht="15" hidden="false" customHeight="true" outlineLevel="0" collapsed="false">
      <c r="A7" s="75" t="str">
        <f aca="false">IF(員工清單!A7="","",員工清單!A7)</f>
        <v>E004</v>
      </c>
      <c r="B7" s="75" t="str">
        <f aca="false">IF($A7="","",員工清單!B7)</f>
        <v>陳雅婷</v>
      </c>
      <c r="C7" s="75" t="str">
        <f aca="false">IF($A7="","",員工清單!C7)</f>
        <v>財務部</v>
      </c>
      <c r="D7" s="76" t="n">
        <f aca="false">IF($A7="","",員工清單!I7)</f>
        <v>42000</v>
      </c>
      <c r="E7" s="77"/>
      <c r="F7" s="77"/>
      <c r="G7" s="77"/>
      <c r="H7" s="77"/>
      <c r="I7" s="77"/>
      <c r="J7" s="45" t="n">
        <f aca="false">IF($A7="","",ROUND($D7/參數設定!$C$19*(E7*4/3+F7*5/3+G7*4/3+H7*5/3+I7),0))</f>
        <v>0</v>
      </c>
      <c r="K7" s="33"/>
      <c r="L7" s="33"/>
      <c r="M7" s="48" t="n">
        <f aca="false">IF($A7="","",ROUND(D7+J7+K7+L7,0))</f>
        <v>42000</v>
      </c>
      <c r="N7" s="77" t="n">
        <v>4</v>
      </c>
      <c r="O7" s="77"/>
      <c r="P7" s="45" t="n">
        <f aca="false">IF($A7="","",ROUND($D7/參數設定!$C$19*(N7+O7*0.5),0))</f>
        <v>700</v>
      </c>
      <c r="Q7" s="45" t="n">
        <f aca="false">IF($A7="","",ROUND(員工清單!J7*參數設定!$C$8*參數設定!$C$9,0))</f>
        <v>1050</v>
      </c>
      <c r="R7" s="45" t="n">
        <f aca="false">IF($A7="","",ROUND(員工清單!L7*參數設定!$C$12*參數設定!$C$13,0)*(1+員工清單!O7))</f>
        <v>651</v>
      </c>
      <c r="S7" s="45" t="n">
        <f aca="false">IF($A7="","",ROUND(員工清單!M7*N(員工清單!P7),0))</f>
        <v>0</v>
      </c>
      <c r="T7" s="33"/>
      <c r="U7" s="45" t="n">
        <f aca="false">IF($A7="","",ROUND(MIN(N(L7),MAX(0,N(T7)-員工清單!L7*4))*參數設定!$C$18,0))</f>
        <v>0</v>
      </c>
      <c r="V7" s="33"/>
      <c r="W7" s="33"/>
      <c r="X7" s="48" t="n">
        <f aca="false">IF($A7="","",P7+Q7+R7+S7+U7+V7+W7)</f>
        <v>2401</v>
      </c>
      <c r="Y7" s="78" t="n">
        <f aca="false">IF($A7="","",M7-X7)</f>
        <v>39599</v>
      </c>
      <c r="Z7" s="45" t="n">
        <f aca="false">IF($A7="","",ROUND(員工清單!J7*參數設定!$C$8*參數設定!$C$10,0))</f>
        <v>3675</v>
      </c>
      <c r="AA7" s="45" t="n">
        <f aca="false">IF($A7="","",ROUND(員工清單!K7*參數設定!$C$11,0))</f>
        <v>88</v>
      </c>
      <c r="AB7" s="45" t="n">
        <f aca="false">IF($A7="","",ROUND(員工清單!L7*參數設定!$C$12*參數設定!$C$14*(1+參數設定!$C$15),0))</f>
        <v>2032</v>
      </c>
      <c r="AC7" s="45" t="n">
        <f aca="false">IF($A7="","",ROUND(員工清單!M7*參數設定!$C$17,0))</f>
        <v>2520</v>
      </c>
      <c r="AD7" s="48" t="n">
        <f aca="false">IF($A7="","",Z7+AA7+AB7+AC7)</f>
        <v>8315</v>
      </c>
      <c r="AE7" s="48" t="n">
        <f aca="false">IF($A7="","",M7+AD7)</f>
        <v>50315</v>
      </c>
    </row>
    <row r="8" customFormat="false" ht="15" hidden="false" customHeight="true" outlineLevel="0" collapsed="false">
      <c r="A8" s="75" t="str">
        <f aca="false">IF(員工清單!A8="","",員工清單!A8)</f>
        <v>E005</v>
      </c>
      <c r="B8" s="75" t="str">
        <f aca="false">IF($A8="","",員工清單!B8)</f>
        <v>林承翰</v>
      </c>
      <c r="C8" s="75" t="str">
        <f aca="false">IF($A8="","",員工清單!C8)</f>
        <v>資訊部</v>
      </c>
      <c r="D8" s="76" t="n">
        <f aca="false">IF($A8="","",員工清單!I8)</f>
        <v>78000</v>
      </c>
      <c r="E8" s="77" t="n">
        <v>8</v>
      </c>
      <c r="F8" s="77" t="n">
        <v>2</v>
      </c>
      <c r="G8" s="77"/>
      <c r="H8" s="77"/>
      <c r="I8" s="77"/>
      <c r="J8" s="45" t="n">
        <f aca="false">IF($A8="","",ROUND($D8/參數設定!$C$19*(E8*4/3+F8*5/3+G8*4/3+H8*5/3+I8),0))</f>
        <v>4550</v>
      </c>
      <c r="K8" s="33"/>
      <c r="L8" s="33"/>
      <c r="M8" s="48" t="n">
        <f aca="false">IF($A8="","",ROUND(D8+J8+K8+L8,0))</f>
        <v>82550</v>
      </c>
      <c r="N8" s="77"/>
      <c r="O8" s="77"/>
      <c r="P8" s="45" t="n">
        <f aca="false">IF($A8="","",ROUND($D8/參數設定!$C$19*(N8+O8*0.5),0))</f>
        <v>0</v>
      </c>
      <c r="Q8" s="45" t="n">
        <f aca="false">IF($A8="","",ROUND(員工清單!J8*參數設定!$C$8*參數設定!$C$9,0))</f>
        <v>1145</v>
      </c>
      <c r="R8" s="45" t="n">
        <f aca="false">IF($A8="","",ROUND(員工清單!L8*參數設定!$C$12*參數設定!$C$13,0)*(1+員工清單!O8))</f>
        <v>4976</v>
      </c>
      <c r="S8" s="45" t="n">
        <f aca="false">IF($A8="","",ROUND(員工清單!M8*N(員工清單!P8),0))</f>
        <v>4812</v>
      </c>
      <c r="T8" s="33"/>
      <c r="U8" s="45" t="n">
        <f aca="false">IF($A8="","",ROUND(MIN(N(L8),MAX(0,N(T8)-員工清單!L8*4))*參數設定!$C$18,0))</f>
        <v>0</v>
      </c>
      <c r="V8" s="33"/>
      <c r="W8" s="33"/>
      <c r="X8" s="48" t="n">
        <f aca="false">IF($A8="","",P8+Q8+R8+S8+U8+V8+W8)</f>
        <v>10933</v>
      </c>
      <c r="Y8" s="78" t="n">
        <f aca="false">IF($A8="","",M8-X8)</f>
        <v>71617</v>
      </c>
      <c r="Z8" s="45" t="n">
        <f aca="false">IF($A8="","",ROUND(員工清單!J8*參數設定!$C$8*參數設定!$C$10,0))</f>
        <v>4007</v>
      </c>
      <c r="AA8" s="45" t="n">
        <f aca="false">IF($A8="","",ROUND(員工清單!K8*參數設定!$C$11,0))</f>
        <v>153</v>
      </c>
      <c r="AB8" s="45" t="n">
        <f aca="false">IF($A8="","",ROUND(員工清單!L8*參數設定!$C$12*參數設定!$C$14*(1+參數設定!$C$15),0))</f>
        <v>3881</v>
      </c>
      <c r="AC8" s="45" t="n">
        <f aca="false">IF($A8="","",ROUND(員工清單!M8*參數設定!$C$17,0))</f>
        <v>4812</v>
      </c>
      <c r="AD8" s="48" t="n">
        <f aca="false">IF($A8="","",Z8+AA8+AB8+AC8)</f>
        <v>12853</v>
      </c>
      <c r="AE8" s="48" t="n">
        <f aca="false">IF($A8="","",M8+AD8)</f>
        <v>95403</v>
      </c>
    </row>
    <row r="9" customFormat="false" ht="15" hidden="false" customHeight="true" outlineLevel="0" collapsed="false">
      <c r="A9" s="75" t="str">
        <f aca="false">IF(員工清單!A9="","",員工清單!A9)</f>
        <v>E006</v>
      </c>
      <c r="B9" s="75" t="str">
        <f aca="false">IF($A9="","",員工清單!B9)</f>
        <v>黃詩涵</v>
      </c>
      <c r="C9" s="75" t="str">
        <f aca="false">IF($A9="","",員工清單!C9)</f>
        <v>人資部</v>
      </c>
      <c r="D9" s="76" t="n">
        <f aca="false">IF($A9="","",員工清單!I9)</f>
        <v>33000</v>
      </c>
      <c r="E9" s="77"/>
      <c r="F9" s="77"/>
      <c r="G9" s="77"/>
      <c r="H9" s="77"/>
      <c r="I9" s="77"/>
      <c r="J9" s="45" t="n">
        <f aca="false">IF($A9="","",ROUND($D9/參數設定!$C$19*(E9*4/3+F9*5/3+G9*4/3+H9*5/3+I9),0))</f>
        <v>0</v>
      </c>
      <c r="K9" s="33"/>
      <c r="L9" s="33"/>
      <c r="M9" s="48" t="n">
        <f aca="false">IF($A9="","",ROUND(D9+J9+K9+L9,0))</f>
        <v>33000</v>
      </c>
      <c r="N9" s="77"/>
      <c r="O9" s="77"/>
      <c r="P9" s="45" t="n">
        <f aca="false">IF($A9="","",ROUND($D9/參數設定!$C$19*(N9+O9*0.5),0))</f>
        <v>0</v>
      </c>
      <c r="Q9" s="45" t="n">
        <f aca="false">IF($A9="","",ROUND(員工清單!J9*參數設定!$C$8*參數設定!$C$9,0))</f>
        <v>833</v>
      </c>
      <c r="R9" s="45" t="n">
        <f aca="false">IF($A9="","",ROUND(員工清單!L9*參數設定!$C$12*參數設定!$C$13,0)*(1+員工清單!O9))</f>
        <v>516</v>
      </c>
      <c r="S9" s="45" t="n">
        <f aca="false">IF($A9="","",ROUND(員工清單!M9*N(員工清單!P9),0))</f>
        <v>0</v>
      </c>
      <c r="T9" s="33"/>
      <c r="U9" s="45" t="n">
        <f aca="false">IF($A9="","",ROUND(MIN(N(L9),MAX(0,N(T9)-員工清單!L9*4))*參數設定!$C$18,0))</f>
        <v>0</v>
      </c>
      <c r="V9" s="33"/>
      <c r="W9" s="33"/>
      <c r="X9" s="48" t="n">
        <f aca="false">IF($A9="","",P9+Q9+R9+S9+U9+V9+W9)</f>
        <v>1349</v>
      </c>
      <c r="Y9" s="78" t="n">
        <f aca="false">IF($A9="","",M9-X9)</f>
        <v>31651</v>
      </c>
      <c r="Z9" s="45" t="n">
        <f aca="false">IF($A9="","",ROUND(員工清單!J9*參數設定!$C$8*參數設定!$C$10,0))</f>
        <v>2914</v>
      </c>
      <c r="AA9" s="45" t="n">
        <f aca="false">IF($A9="","",ROUND(員工清單!K9*參數設定!$C$11,0))</f>
        <v>70</v>
      </c>
      <c r="AB9" s="45" t="n">
        <f aca="false">IF($A9="","",ROUND(員工清單!L9*參數設定!$C$12*參數設定!$C$14*(1+參數設定!$C$15),0))</f>
        <v>1611</v>
      </c>
      <c r="AC9" s="45" t="n">
        <f aca="false">IF($A9="","",ROUND(員工清單!M9*參數設定!$C$17,0))</f>
        <v>1998</v>
      </c>
      <c r="AD9" s="48" t="n">
        <f aca="false">IF($A9="","",Z9+AA9+AB9+AC9)</f>
        <v>6593</v>
      </c>
      <c r="AE9" s="48" t="n">
        <f aca="false">IF($A9="","",M9+AD9)</f>
        <v>39593</v>
      </c>
    </row>
    <row r="10" customFormat="false" ht="15" hidden="false" customHeight="true" outlineLevel="0" collapsed="false">
      <c r="A10" s="75" t="str">
        <f aca="false">IF(員工清單!A10="","",員工清單!A10)</f>
        <v>E007</v>
      </c>
      <c r="B10" s="75" t="str">
        <f aca="false">IF($A10="","",員工清單!B10)</f>
        <v>吳建宏</v>
      </c>
      <c r="C10" s="75" t="str">
        <f aca="false">IF($A10="","",員工清單!C10)</f>
        <v>製造部</v>
      </c>
      <c r="D10" s="76" t="n">
        <f aca="false">IF($A10="","",員工清單!I10)</f>
        <v>29500</v>
      </c>
      <c r="E10" s="77"/>
      <c r="F10" s="77"/>
      <c r="G10" s="77"/>
      <c r="H10" s="77"/>
      <c r="I10" s="77"/>
      <c r="J10" s="45" t="n">
        <f aca="false">IF($A10="","",ROUND($D10/參數設定!$C$19*(E10*4/3+F10*5/3+G10*4/3+H10*5/3+I10),0))</f>
        <v>0</v>
      </c>
      <c r="K10" s="33"/>
      <c r="L10" s="33"/>
      <c r="M10" s="48" t="n">
        <f aca="false">IF($A10="","",ROUND(D10+J10+K10+L10,0))</f>
        <v>29500</v>
      </c>
      <c r="N10" s="77" t="n">
        <v>8</v>
      </c>
      <c r="O10" s="77" t="n">
        <v>16</v>
      </c>
      <c r="P10" s="45" t="n">
        <f aca="false">IF($A10="","",ROUND($D10/參數設定!$C$19*(N10+O10*0.5),0))</f>
        <v>1967</v>
      </c>
      <c r="Q10" s="45" t="n">
        <f aca="false">IF($A10="","",ROUND(員工清單!J10*參數設定!$C$8*參數設定!$C$9,0))</f>
        <v>738</v>
      </c>
      <c r="R10" s="45" t="n">
        <f aca="false">IF($A10="","",ROUND(員工清單!L10*參數設定!$C$12*參數設定!$C$13,0)*(1+員工清單!O10))</f>
        <v>1832</v>
      </c>
      <c r="S10" s="45" t="n">
        <f aca="false">IF($A10="","",ROUND(員工清單!M10*N(員工清單!P10),0))</f>
        <v>0</v>
      </c>
      <c r="T10" s="33"/>
      <c r="U10" s="45" t="n">
        <f aca="false">IF($A10="","",ROUND(MIN(N(L10),MAX(0,N(T10)-員工清單!L10*4))*參數設定!$C$18,0))</f>
        <v>0</v>
      </c>
      <c r="V10" s="33"/>
      <c r="W10" s="33"/>
      <c r="X10" s="48" t="n">
        <f aca="false">IF($A10="","",P10+Q10+R10+S10+U10+V10+W10)</f>
        <v>4537</v>
      </c>
      <c r="Y10" s="78" t="n">
        <f aca="false">IF($A10="","",M10-X10)</f>
        <v>24963</v>
      </c>
      <c r="Z10" s="45" t="n">
        <f aca="false">IF($A10="","",ROUND(員工清單!J10*參數設定!$C$8*參數設定!$C$10,0))</f>
        <v>2581</v>
      </c>
      <c r="AA10" s="45" t="n">
        <f aca="false">IF($A10="","",ROUND(員工清單!K10*參數設定!$C$11,0))</f>
        <v>62</v>
      </c>
      <c r="AB10" s="45" t="n">
        <f aca="false">IF($A10="","",ROUND(員工清單!L10*參數設定!$C$12*參數設定!$C$14*(1+參數設定!$C$15),0))</f>
        <v>1428</v>
      </c>
      <c r="AC10" s="45" t="n">
        <f aca="false">IF($A10="","",ROUND(員工清單!M10*參數設定!$C$17,0))</f>
        <v>1770</v>
      </c>
      <c r="AD10" s="48" t="n">
        <f aca="false">IF($A10="","",Z10+AA10+AB10+AC10)</f>
        <v>5841</v>
      </c>
      <c r="AE10" s="48" t="n">
        <f aca="false">IF($A10="","",M10+AD10)</f>
        <v>35341</v>
      </c>
    </row>
    <row r="11" customFormat="false" ht="15" hidden="false" customHeight="true" outlineLevel="0" collapsed="false">
      <c r="A11" s="75" t="str">
        <f aca="false">IF(員工清單!A11="","",員工清單!A11)</f>
        <v>E008</v>
      </c>
      <c r="B11" s="75" t="str">
        <f aca="false">IF($A11="","",員工清單!B11)</f>
        <v>蔡佩珊</v>
      </c>
      <c r="C11" s="75" t="str">
        <f aca="false">IF($A11="","",員工清單!C11)</f>
        <v>總經理室</v>
      </c>
      <c r="D11" s="76" t="n">
        <f aca="false">IF($A11="","",員工清單!I11)</f>
        <v>160000</v>
      </c>
      <c r="E11" s="77"/>
      <c r="F11" s="77"/>
      <c r="G11" s="77"/>
      <c r="H11" s="77"/>
      <c r="I11" s="77"/>
      <c r="J11" s="45" t="n">
        <f aca="false">IF($A11="","",ROUND($D11/參數設定!$C$19*(E11*4/3+F11*5/3+G11*4/3+H11*5/3+I11),0))</f>
        <v>0</v>
      </c>
      <c r="K11" s="33"/>
      <c r="L11" s="33" t="n">
        <v>100000</v>
      </c>
      <c r="M11" s="48" t="n">
        <f aca="false">IF($A11="","",ROUND(D11+J11+K11+L11,0))</f>
        <v>260000</v>
      </c>
      <c r="N11" s="77"/>
      <c r="O11" s="77"/>
      <c r="P11" s="45" t="n">
        <f aca="false">IF($A11="","",ROUND($D11/參數設定!$C$19*(N11+O11*0.5),0))</f>
        <v>0</v>
      </c>
      <c r="Q11" s="45" t="n">
        <f aca="false">IF($A11="","",ROUND(員工清單!J11*參數設定!$C$8*參數設定!$C$9,0))</f>
        <v>1145</v>
      </c>
      <c r="R11" s="45" t="n">
        <f aca="false">IF($A11="","",ROUND(員工清單!L11*參數設定!$C$12*參數設定!$C$13,0)*(1+員工清單!O11))</f>
        <v>5050</v>
      </c>
      <c r="S11" s="45" t="n">
        <f aca="false">IF($A11="","",ROUND(員工清單!M11*N(員工清單!P11),0))</f>
        <v>9000</v>
      </c>
      <c r="T11" s="33" t="n">
        <v>700000</v>
      </c>
      <c r="U11" s="45" t="n">
        <f aca="false">IF($A11="","",ROUND(MIN(N(L11),MAX(0,N(T11)-員工清單!L11*4))*參數設定!$C$18,0))</f>
        <v>1030</v>
      </c>
      <c r="V11" s="33" t="n">
        <v>12000</v>
      </c>
      <c r="W11" s="33"/>
      <c r="X11" s="48" t="n">
        <f aca="false">IF($A11="","",P11+Q11+R11+S11+U11+V11+W11)</f>
        <v>28225</v>
      </c>
      <c r="Y11" s="78" t="n">
        <f aca="false">IF($A11="","",M11-X11)</f>
        <v>231775</v>
      </c>
      <c r="Z11" s="45" t="n">
        <f aca="false">IF($A11="","",ROUND(員工清單!J11*參數設定!$C$8*參數設定!$C$10,0))</f>
        <v>4007</v>
      </c>
      <c r="AA11" s="45" t="n">
        <f aca="false">IF($A11="","",ROUND(員工清單!K11*參數設定!$C$11,0))</f>
        <v>153</v>
      </c>
      <c r="AB11" s="45" t="n">
        <f aca="false">IF($A11="","",ROUND(員工清單!L11*參數設定!$C$12*參數設定!$C$14*(1+參數設定!$C$15),0))</f>
        <v>7878</v>
      </c>
      <c r="AC11" s="45" t="n">
        <f aca="false">IF($A11="","",ROUND(員工清單!M11*參數設定!$C$17,0))</f>
        <v>9000</v>
      </c>
      <c r="AD11" s="48" t="n">
        <f aca="false">IF($A11="","",Z11+AA11+AB11+AC11)</f>
        <v>21038</v>
      </c>
      <c r="AE11" s="48" t="n">
        <f aca="false">IF($A11="","",M11+AD11)</f>
        <v>281038</v>
      </c>
    </row>
    <row r="12" customFormat="false" ht="15" hidden="false" customHeight="true" outlineLevel="0" collapsed="false">
      <c r="A12" s="75" t="str">
        <f aca="false">IF(員工清單!A12="","",員工清單!A12)</f>
        <v/>
      </c>
      <c r="B12" s="75" t="str">
        <f aca="false">IF($A12="","",員工清單!B12)</f>
        <v/>
      </c>
      <c r="C12" s="75" t="str">
        <f aca="false">IF($A12="","",員工清單!C12)</f>
        <v/>
      </c>
      <c r="D12" s="76" t="str">
        <f aca="false">IF($A12="","",員工清單!I12)</f>
        <v/>
      </c>
      <c r="E12" s="77"/>
      <c r="F12" s="77"/>
      <c r="G12" s="77"/>
      <c r="H12" s="77"/>
      <c r="I12" s="77"/>
      <c r="J12" s="45" t="str">
        <f aca="false">IF($A12="","",ROUND($D12/參數設定!$C$19*(E12*4/3+F12*5/3+G12*4/3+H12*5/3+I12),0))</f>
        <v/>
      </c>
      <c r="K12" s="33"/>
      <c r="L12" s="33"/>
      <c r="M12" s="48" t="str">
        <f aca="false">IF($A12="","",ROUND(D12+J12+K12+L12,0))</f>
        <v/>
      </c>
      <c r="N12" s="77"/>
      <c r="O12" s="77"/>
      <c r="P12" s="45" t="str">
        <f aca="false">IF($A12="","",ROUND($D12/參數設定!$C$19*(N12+O12*0.5),0))</f>
        <v/>
      </c>
      <c r="Q12" s="45" t="str">
        <f aca="false">IF($A12="","",ROUND(員工清單!J12*參數設定!$C$8*參數設定!$C$9,0))</f>
        <v/>
      </c>
      <c r="R12" s="45" t="str">
        <f aca="false">IF($A12="","",ROUND(員工清單!L12*參數設定!$C$12*參數設定!$C$13,0)*(1+員工清單!O12))</f>
        <v/>
      </c>
      <c r="S12" s="45" t="str">
        <f aca="false">IF($A12="","",ROUND(員工清單!M12*N(員工清單!P12),0))</f>
        <v/>
      </c>
      <c r="T12" s="33"/>
      <c r="U12" s="45" t="str">
        <f aca="false">IF($A12="","",ROUND(MIN(N(L12),MAX(0,N(T12)-員工清單!L12*4))*參數設定!$C$18,0))</f>
        <v/>
      </c>
      <c r="V12" s="33"/>
      <c r="W12" s="33"/>
      <c r="X12" s="48" t="str">
        <f aca="false">IF($A12="","",P12+Q12+R12+S12+U12+V12+W12)</f>
        <v/>
      </c>
      <c r="Y12" s="78" t="str">
        <f aca="false">IF($A12="","",M12-X12)</f>
        <v/>
      </c>
      <c r="Z12" s="45" t="str">
        <f aca="false">IF($A12="","",ROUND(員工清單!J12*參數設定!$C$8*參數設定!$C$10,0))</f>
        <v/>
      </c>
      <c r="AA12" s="45" t="str">
        <f aca="false">IF($A12="","",ROUND(員工清單!K12*參數設定!$C$11,0))</f>
        <v/>
      </c>
      <c r="AB12" s="45" t="str">
        <f aca="false">IF($A12="","",ROUND(員工清單!L12*參數設定!$C$12*參數設定!$C$14*(1+參數設定!$C$15),0))</f>
        <v/>
      </c>
      <c r="AC12" s="45" t="str">
        <f aca="false">IF($A12="","",ROUND(員工清單!M12*參數設定!$C$17,0))</f>
        <v/>
      </c>
      <c r="AD12" s="48" t="str">
        <f aca="false">IF($A12="","",Z12+AA12+AB12+AC12)</f>
        <v/>
      </c>
      <c r="AE12" s="48" t="str">
        <f aca="false">IF($A12="","",M12+AD12)</f>
        <v/>
      </c>
    </row>
    <row r="13" customFormat="false" ht="15" hidden="false" customHeight="true" outlineLevel="0" collapsed="false">
      <c r="A13" s="75" t="str">
        <f aca="false">IF(員工清單!A13="","",員工清單!A13)</f>
        <v/>
      </c>
      <c r="B13" s="75" t="str">
        <f aca="false">IF($A13="","",員工清單!B13)</f>
        <v/>
      </c>
      <c r="C13" s="75" t="str">
        <f aca="false">IF($A13="","",員工清單!C13)</f>
        <v/>
      </c>
      <c r="D13" s="76" t="str">
        <f aca="false">IF($A13="","",員工清單!I13)</f>
        <v/>
      </c>
      <c r="E13" s="77"/>
      <c r="F13" s="77"/>
      <c r="G13" s="77"/>
      <c r="H13" s="77"/>
      <c r="I13" s="77"/>
      <c r="J13" s="45" t="str">
        <f aca="false">IF($A13="","",ROUND($D13/參數設定!$C$19*(E13*4/3+F13*5/3+G13*4/3+H13*5/3+I13),0))</f>
        <v/>
      </c>
      <c r="K13" s="33"/>
      <c r="L13" s="33"/>
      <c r="M13" s="48" t="str">
        <f aca="false">IF($A13="","",ROUND(D13+J13+K13+L13,0))</f>
        <v/>
      </c>
      <c r="N13" s="77"/>
      <c r="O13" s="77"/>
      <c r="P13" s="45" t="str">
        <f aca="false">IF($A13="","",ROUND($D13/參數設定!$C$19*(N13+O13*0.5),0))</f>
        <v/>
      </c>
      <c r="Q13" s="45" t="str">
        <f aca="false">IF($A13="","",ROUND(員工清單!J13*參數設定!$C$8*參數設定!$C$9,0))</f>
        <v/>
      </c>
      <c r="R13" s="45" t="str">
        <f aca="false">IF($A13="","",ROUND(員工清單!L13*參數設定!$C$12*參數設定!$C$13,0)*(1+員工清單!O13))</f>
        <v/>
      </c>
      <c r="S13" s="45" t="str">
        <f aca="false">IF($A13="","",ROUND(員工清單!M13*N(員工清單!P13),0))</f>
        <v/>
      </c>
      <c r="T13" s="33"/>
      <c r="U13" s="45" t="str">
        <f aca="false">IF($A13="","",ROUND(MIN(N(L13),MAX(0,N(T13)-員工清單!L13*4))*參數設定!$C$18,0))</f>
        <v/>
      </c>
      <c r="V13" s="33"/>
      <c r="W13" s="33"/>
      <c r="X13" s="48" t="str">
        <f aca="false">IF($A13="","",P13+Q13+R13+S13+U13+V13+W13)</f>
        <v/>
      </c>
      <c r="Y13" s="78" t="str">
        <f aca="false">IF($A13="","",M13-X13)</f>
        <v/>
      </c>
      <c r="Z13" s="45" t="str">
        <f aca="false">IF($A13="","",ROUND(員工清單!J13*參數設定!$C$8*參數設定!$C$10,0))</f>
        <v/>
      </c>
      <c r="AA13" s="45" t="str">
        <f aca="false">IF($A13="","",ROUND(員工清單!K13*參數設定!$C$11,0))</f>
        <v/>
      </c>
      <c r="AB13" s="45" t="str">
        <f aca="false">IF($A13="","",ROUND(員工清單!L13*參數設定!$C$12*參數設定!$C$14*(1+參數設定!$C$15),0))</f>
        <v/>
      </c>
      <c r="AC13" s="45" t="str">
        <f aca="false">IF($A13="","",ROUND(員工清單!M13*參數設定!$C$17,0))</f>
        <v/>
      </c>
      <c r="AD13" s="48" t="str">
        <f aca="false">IF($A13="","",Z13+AA13+AB13+AC13)</f>
        <v/>
      </c>
      <c r="AE13" s="48" t="str">
        <f aca="false">IF($A13="","",M13+AD13)</f>
        <v/>
      </c>
    </row>
    <row r="14" customFormat="false" ht="15" hidden="false" customHeight="true" outlineLevel="0" collapsed="false">
      <c r="A14" s="75" t="str">
        <f aca="false">IF(員工清單!A14="","",員工清單!A14)</f>
        <v/>
      </c>
      <c r="B14" s="75" t="str">
        <f aca="false">IF($A14="","",員工清單!B14)</f>
        <v/>
      </c>
      <c r="C14" s="75" t="str">
        <f aca="false">IF($A14="","",員工清單!C14)</f>
        <v/>
      </c>
      <c r="D14" s="76" t="str">
        <f aca="false">IF($A14="","",員工清單!I14)</f>
        <v/>
      </c>
      <c r="E14" s="77"/>
      <c r="F14" s="77"/>
      <c r="G14" s="77"/>
      <c r="H14" s="77"/>
      <c r="I14" s="77"/>
      <c r="J14" s="45" t="str">
        <f aca="false">IF($A14="","",ROUND($D14/參數設定!$C$19*(E14*4/3+F14*5/3+G14*4/3+H14*5/3+I14),0))</f>
        <v/>
      </c>
      <c r="K14" s="33"/>
      <c r="L14" s="33"/>
      <c r="M14" s="48" t="str">
        <f aca="false">IF($A14="","",ROUND(D14+J14+K14+L14,0))</f>
        <v/>
      </c>
      <c r="N14" s="77"/>
      <c r="O14" s="77"/>
      <c r="P14" s="45" t="str">
        <f aca="false">IF($A14="","",ROUND($D14/參數設定!$C$19*(N14+O14*0.5),0))</f>
        <v/>
      </c>
      <c r="Q14" s="45" t="str">
        <f aca="false">IF($A14="","",ROUND(員工清單!J14*參數設定!$C$8*參數設定!$C$9,0))</f>
        <v/>
      </c>
      <c r="R14" s="45" t="str">
        <f aca="false">IF($A14="","",ROUND(員工清單!L14*參數設定!$C$12*參數設定!$C$13,0)*(1+員工清單!O14))</f>
        <v/>
      </c>
      <c r="S14" s="45" t="str">
        <f aca="false">IF($A14="","",ROUND(員工清單!M14*N(員工清單!P14),0))</f>
        <v/>
      </c>
      <c r="T14" s="33"/>
      <c r="U14" s="45" t="str">
        <f aca="false">IF($A14="","",ROUND(MIN(N(L14),MAX(0,N(T14)-員工清單!L14*4))*參數設定!$C$18,0))</f>
        <v/>
      </c>
      <c r="V14" s="33"/>
      <c r="W14" s="33"/>
      <c r="X14" s="48" t="str">
        <f aca="false">IF($A14="","",P14+Q14+R14+S14+U14+V14+W14)</f>
        <v/>
      </c>
      <c r="Y14" s="78" t="str">
        <f aca="false">IF($A14="","",M14-X14)</f>
        <v/>
      </c>
      <c r="Z14" s="45" t="str">
        <f aca="false">IF($A14="","",ROUND(員工清單!J14*參數設定!$C$8*參數設定!$C$10,0))</f>
        <v/>
      </c>
      <c r="AA14" s="45" t="str">
        <f aca="false">IF($A14="","",ROUND(員工清單!K14*參數設定!$C$11,0))</f>
        <v/>
      </c>
      <c r="AB14" s="45" t="str">
        <f aca="false">IF($A14="","",ROUND(員工清單!L14*參數設定!$C$12*參數設定!$C$14*(1+參數設定!$C$15),0))</f>
        <v/>
      </c>
      <c r="AC14" s="45" t="str">
        <f aca="false">IF($A14="","",ROUND(員工清單!M14*參數設定!$C$17,0))</f>
        <v/>
      </c>
      <c r="AD14" s="48" t="str">
        <f aca="false">IF($A14="","",Z14+AA14+AB14+AC14)</f>
        <v/>
      </c>
      <c r="AE14" s="48" t="str">
        <f aca="false">IF($A14="","",M14+AD14)</f>
        <v/>
      </c>
    </row>
    <row r="15" customFormat="false" ht="15" hidden="false" customHeight="true" outlineLevel="0" collapsed="false">
      <c r="A15" s="75" t="str">
        <f aca="false">IF(員工清單!A15="","",員工清單!A15)</f>
        <v/>
      </c>
      <c r="B15" s="75" t="str">
        <f aca="false">IF($A15="","",員工清單!B15)</f>
        <v/>
      </c>
      <c r="C15" s="75" t="str">
        <f aca="false">IF($A15="","",員工清單!C15)</f>
        <v/>
      </c>
      <c r="D15" s="76" t="str">
        <f aca="false">IF($A15="","",員工清單!I15)</f>
        <v/>
      </c>
      <c r="E15" s="77"/>
      <c r="F15" s="77"/>
      <c r="G15" s="77"/>
      <c r="H15" s="77"/>
      <c r="I15" s="77"/>
      <c r="J15" s="45" t="str">
        <f aca="false">IF($A15="","",ROUND($D15/參數設定!$C$19*(E15*4/3+F15*5/3+G15*4/3+H15*5/3+I15),0))</f>
        <v/>
      </c>
      <c r="K15" s="33"/>
      <c r="L15" s="33"/>
      <c r="M15" s="48" t="str">
        <f aca="false">IF($A15="","",ROUND(D15+J15+K15+L15,0))</f>
        <v/>
      </c>
      <c r="N15" s="77"/>
      <c r="O15" s="77"/>
      <c r="P15" s="45" t="str">
        <f aca="false">IF($A15="","",ROUND($D15/參數設定!$C$19*(N15+O15*0.5),0))</f>
        <v/>
      </c>
      <c r="Q15" s="45" t="str">
        <f aca="false">IF($A15="","",ROUND(員工清單!J15*參數設定!$C$8*參數設定!$C$9,0))</f>
        <v/>
      </c>
      <c r="R15" s="45" t="str">
        <f aca="false">IF($A15="","",ROUND(員工清單!L15*參數設定!$C$12*參數設定!$C$13,0)*(1+員工清單!O15))</f>
        <v/>
      </c>
      <c r="S15" s="45" t="str">
        <f aca="false">IF($A15="","",ROUND(員工清單!M15*N(員工清單!P15),0))</f>
        <v/>
      </c>
      <c r="T15" s="33"/>
      <c r="U15" s="45" t="str">
        <f aca="false">IF($A15="","",ROUND(MIN(N(L15),MAX(0,N(T15)-員工清單!L15*4))*參數設定!$C$18,0))</f>
        <v/>
      </c>
      <c r="V15" s="33"/>
      <c r="W15" s="33"/>
      <c r="X15" s="48" t="str">
        <f aca="false">IF($A15="","",P15+Q15+R15+S15+U15+V15+W15)</f>
        <v/>
      </c>
      <c r="Y15" s="78" t="str">
        <f aca="false">IF($A15="","",M15-X15)</f>
        <v/>
      </c>
      <c r="Z15" s="45" t="str">
        <f aca="false">IF($A15="","",ROUND(員工清單!J15*參數設定!$C$8*參數設定!$C$10,0))</f>
        <v/>
      </c>
      <c r="AA15" s="45" t="str">
        <f aca="false">IF($A15="","",ROUND(員工清單!K15*參數設定!$C$11,0))</f>
        <v/>
      </c>
      <c r="AB15" s="45" t="str">
        <f aca="false">IF($A15="","",ROUND(員工清單!L15*參數設定!$C$12*參數設定!$C$14*(1+參數設定!$C$15),0))</f>
        <v/>
      </c>
      <c r="AC15" s="45" t="str">
        <f aca="false">IF($A15="","",ROUND(員工清單!M15*參數設定!$C$17,0))</f>
        <v/>
      </c>
      <c r="AD15" s="48" t="str">
        <f aca="false">IF($A15="","",Z15+AA15+AB15+AC15)</f>
        <v/>
      </c>
      <c r="AE15" s="48" t="str">
        <f aca="false">IF($A15="","",M15+AD15)</f>
        <v/>
      </c>
    </row>
    <row r="16" customFormat="false" ht="15" hidden="false" customHeight="true" outlineLevel="0" collapsed="false">
      <c r="A16" s="75" t="str">
        <f aca="false">IF(員工清單!A16="","",員工清單!A16)</f>
        <v/>
      </c>
      <c r="B16" s="75" t="str">
        <f aca="false">IF($A16="","",員工清單!B16)</f>
        <v/>
      </c>
      <c r="C16" s="75" t="str">
        <f aca="false">IF($A16="","",員工清單!C16)</f>
        <v/>
      </c>
      <c r="D16" s="76" t="str">
        <f aca="false">IF($A16="","",員工清單!I16)</f>
        <v/>
      </c>
      <c r="E16" s="77"/>
      <c r="F16" s="77"/>
      <c r="G16" s="77"/>
      <c r="H16" s="77"/>
      <c r="I16" s="77"/>
      <c r="J16" s="45" t="str">
        <f aca="false">IF($A16="","",ROUND($D16/參數設定!$C$19*(E16*4/3+F16*5/3+G16*4/3+H16*5/3+I16),0))</f>
        <v/>
      </c>
      <c r="K16" s="33"/>
      <c r="L16" s="33"/>
      <c r="M16" s="48" t="str">
        <f aca="false">IF($A16="","",ROUND(D16+J16+K16+L16,0))</f>
        <v/>
      </c>
      <c r="N16" s="77"/>
      <c r="O16" s="77"/>
      <c r="P16" s="45" t="str">
        <f aca="false">IF($A16="","",ROUND($D16/參數設定!$C$19*(N16+O16*0.5),0))</f>
        <v/>
      </c>
      <c r="Q16" s="45" t="str">
        <f aca="false">IF($A16="","",ROUND(員工清單!J16*參數設定!$C$8*參數設定!$C$9,0))</f>
        <v/>
      </c>
      <c r="R16" s="45" t="str">
        <f aca="false">IF($A16="","",ROUND(員工清單!L16*參數設定!$C$12*參數設定!$C$13,0)*(1+員工清單!O16))</f>
        <v/>
      </c>
      <c r="S16" s="45" t="str">
        <f aca="false">IF($A16="","",ROUND(員工清單!M16*N(員工清單!P16),0))</f>
        <v/>
      </c>
      <c r="T16" s="33"/>
      <c r="U16" s="45" t="str">
        <f aca="false">IF($A16="","",ROUND(MIN(N(L16),MAX(0,N(T16)-員工清單!L16*4))*參數設定!$C$18,0))</f>
        <v/>
      </c>
      <c r="V16" s="33"/>
      <c r="W16" s="33"/>
      <c r="X16" s="48" t="str">
        <f aca="false">IF($A16="","",P16+Q16+R16+S16+U16+V16+W16)</f>
        <v/>
      </c>
      <c r="Y16" s="78" t="str">
        <f aca="false">IF($A16="","",M16-X16)</f>
        <v/>
      </c>
      <c r="Z16" s="45" t="str">
        <f aca="false">IF($A16="","",ROUND(員工清單!J16*參數設定!$C$8*參數設定!$C$10,0))</f>
        <v/>
      </c>
      <c r="AA16" s="45" t="str">
        <f aca="false">IF($A16="","",ROUND(員工清單!K16*參數設定!$C$11,0))</f>
        <v/>
      </c>
      <c r="AB16" s="45" t="str">
        <f aca="false">IF($A16="","",ROUND(員工清單!L16*參數設定!$C$12*參數設定!$C$14*(1+參數設定!$C$15),0))</f>
        <v/>
      </c>
      <c r="AC16" s="45" t="str">
        <f aca="false">IF($A16="","",ROUND(員工清單!M16*參數設定!$C$17,0))</f>
        <v/>
      </c>
      <c r="AD16" s="48" t="str">
        <f aca="false">IF($A16="","",Z16+AA16+AB16+AC16)</f>
        <v/>
      </c>
      <c r="AE16" s="48" t="str">
        <f aca="false">IF($A16="","",M16+AD16)</f>
        <v/>
      </c>
    </row>
    <row r="17" customFormat="false" ht="15" hidden="false" customHeight="true" outlineLevel="0" collapsed="false">
      <c r="A17" s="75" t="str">
        <f aca="false">IF(員工清單!A17="","",員工清單!A17)</f>
        <v/>
      </c>
      <c r="B17" s="75" t="str">
        <f aca="false">IF($A17="","",員工清單!B17)</f>
        <v/>
      </c>
      <c r="C17" s="75" t="str">
        <f aca="false">IF($A17="","",員工清單!C17)</f>
        <v/>
      </c>
      <c r="D17" s="76" t="str">
        <f aca="false">IF($A17="","",員工清單!I17)</f>
        <v/>
      </c>
      <c r="E17" s="77"/>
      <c r="F17" s="77"/>
      <c r="G17" s="77"/>
      <c r="H17" s="77"/>
      <c r="I17" s="77"/>
      <c r="J17" s="45" t="str">
        <f aca="false">IF($A17="","",ROUND($D17/參數設定!$C$19*(E17*4/3+F17*5/3+G17*4/3+H17*5/3+I17),0))</f>
        <v/>
      </c>
      <c r="K17" s="33"/>
      <c r="L17" s="33"/>
      <c r="M17" s="48" t="str">
        <f aca="false">IF($A17="","",ROUND(D17+J17+K17+L17,0))</f>
        <v/>
      </c>
      <c r="N17" s="77"/>
      <c r="O17" s="77"/>
      <c r="P17" s="45" t="str">
        <f aca="false">IF($A17="","",ROUND($D17/參數設定!$C$19*(N17+O17*0.5),0))</f>
        <v/>
      </c>
      <c r="Q17" s="45" t="str">
        <f aca="false">IF($A17="","",ROUND(員工清單!J17*參數設定!$C$8*參數設定!$C$9,0))</f>
        <v/>
      </c>
      <c r="R17" s="45" t="str">
        <f aca="false">IF($A17="","",ROUND(員工清單!L17*參數設定!$C$12*參數設定!$C$13,0)*(1+員工清單!O17))</f>
        <v/>
      </c>
      <c r="S17" s="45" t="str">
        <f aca="false">IF($A17="","",ROUND(員工清單!M17*N(員工清單!P17),0))</f>
        <v/>
      </c>
      <c r="T17" s="33"/>
      <c r="U17" s="45" t="str">
        <f aca="false">IF($A17="","",ROUND(MIN(N(L17),MAX(0,N(T17)-員工清單!L17*4))*參數設定!$C$18,0))</f>
        <v/>
      </c>
      <c r="V17" s="33"/>
      <c r="W17" s="33"/>
      <c r="X17" s="48" t="str">
        <f aca="false">IF($A17="","",P17+Q17+R17+S17+U17+V17+W17)</f>
        <v/>
      </c>
      <c r="Y17" s="78" t="str">
        <f aca="false">IF($A17="","",M17-X17)</f>
        <v/>
      </c>
      <c r="Z17" s="45" t="str">
        <f aca="false">IF($A17="","",ROUND(員工清單!J17*參數設定!$C$8*參數設定!$C$10,0))</f>
        <v/>
      </c>
      <c r="AA17" s="45" t="str">
        <f aca="false">IF($A17="","",ROUND(員工清單!K17*參數設定!$C$11,0))</f>
        <v/>
      </c>
      <c r="AB17" s="45" t="str">
        <f aca="false">IF($A17="","",ROUND(員工清單!L17*參數設定!$C$12*參數設定!$C$14*(1+參數設定!$C$15),0))</f>
        <v/>
      </c>
      <c r="AC17" s="45" t="str">
        <f aca="false">IF($A17="","",ROUND(員工清單!M17*參數設定!$C$17,0))</f>
        <v/>
      </c>
      <c r="AD17" s="48" t="str">
        <f aca="false">IF($A17="","",Z17+AA17+AB17+AC17)</f>
        <v/>
      </c>
      <c r="AE17" s="48" t="str">
        <f aca="false">IF($A17="","",M17+AD17)</f>
        <v/>
      </c>
    </row>
    <row r="18" customFormat="false" ht="15" hidden="false" customHeight="true" outlineLevel="0" collapsed="false">
      <c r="A18" s="75" t="str">
        <f aca="false">IF(員工清單!A18="","",員工清單!A18)</f>
        <v/>
      </c>
      <c r="B18" s="75" t="str">
        <f aca="false">IF($A18="","",員工清單!B18)</f>
        <v/>
      </c>
      <c r="C18" s="75" t="str">
        <f aca="false">IF($A18="","",員工清單!C18)</f>
        <v/>
      </c>
      <c r="D18" s="76" t="str">
        <f aca="false">IF($A18="","",員工清單!I18)</f>
        <v/>
      </c>
      <c r="E18" s="77"/>
      <c r="F18" s="77"/>
      <c r="G18" s="77"/>
      <c r="H18" s="77"/>
      <c r="I18" s="77"/>
      <c r="J18" s="45" t="str">
        <f aca="false">IF($A18="","",ROUND($D18/參數設定!$C$19*(E18*4/3+F18*5/3+G18*4/3+H18*5/3+I18),0))</f>
        <v/>
      </c>
      <c r="K18" s="33"/>
      <c r="L18" s="33"/>
      <c r="M18" s="48" t="str">
        <f aca="false">IF($A18="","",ROUND(D18+J18+K18+L18,0))</f>
        <v/>
      </c>
      <c r="N18" s="77"/>
      <c r="O18" s="77"/>
      <c r="P18" s="45" t="str">
        <f aca="false">IF($A18="","",ROUND($D18/參數設定!$C$19*(N18+O18*0.5),0))</f>
        <v/>
      </c>
      <c r="Q18" s="45" t="str">
        <f aca="false">IF($A18="","",ROUND(員工清單!J18*參數設定!$C$8*參數設定!$C$9,0))</f>
        <v/>
      </c>
      <c r="R18" s="45" t="str">
        <f aca="false">IF($A18="","",ROUND(員工清單!L18*參數設定!$C$12*參數設定!$C$13,0)*(1+員工清單!O18))</f>
        <v/>
      </c>
      <c r="S18" s="45" t="str">
        <f aca="false">IF($A18="","",ROUND(員工清單!M18*N(員工清單!P18),0))</f>
        <v/>
      </c>
      <c r="T18" s="33"/>
      <c r="U18" s="45" t="str">
        <f aca="false">IF($A18="","",ROUND(MIN(N(L18),MAX(0,N(T18)-員工清單!L18*4))*參數設定!$C$18,0))</f>
        <v/>
      </c>
      <c r="V18" s="33"/>
      <c r="W18" s="33"/>
      <c r="X18" s="48" t="str">
        <f aca="false">IF($A18="","",P18+Q18+R18+S18+U18+V18+W18)</f>
        <v/>
      </c>
      <c r="Y18" s="78" t="str">
        <f aca="false">IF($A18="","",M18-X18)</f>
        <v/>
      </c>
      <c r="Z18" s="45" t="str">
        <f aca="false">IF($A18="","",ROUND(員工清單!J18*參數設定!$C$8*參數設定!$C$10,0))</f>
        <v/>
      </c>
      <c r="AA18" s="45" t="str">
        <f aca="false">IF($A18="","",ROUND(員工清單!K18*參數設定!$C$11,0))</f>
        <v/>
      </c>
      <c r="AB18" s="45" t="str">
        <f aca="false">IF($A18="","",ROUND(員工清單!L18*參數設定!$C$12*參數設定!$C$14*(1+參數設定!$C$15),0))</f>
        <v/>
      </c>
      <c r="AC18" s="45" t="str">
        <f aca="false">IF($A18="","",ROUND(員工清單!M18*參數設定!$C$17,0))</f>
        <v/>
      </c>
      <c r="AD18" s="48" t="str">
        <f aca="false">IF($A18="","",Z18+AA18+AB18+AC18)</f>
        <v/>
      </c>
      <c r="AE18" s="48" t="str">
        <f aca="false">IF($A18="","",M18+AD18)</f>
        <v/>
      </c>
    </row>
    <row r="19" customFormat="false" ht="15" hidden="false" customHeight="true" outlineLevel="0" collapsed="false">
      <c r="A19" s="75" t="str">
        <f aca="false">IF(員工清單!A19="","",員工清單!A19)</f>
        <v/>
      </c>
      <c r="B19" s="75" t="str">
        <f aca="false">IF($A19="","",員工清單!B19)</f>
        <v/>
      </c>
      <c r="C19" s="75" t="str">
        <f aca="false">IF($A19="","",員工清單!C19)</f>
        <v/>
      </c>
      <c r="D19" s="76" t="str">
        <f aca="false">IF($A19="","",員工清單!I19)</f>
        <v/>
      </c>
      <c r="E19" s="77"/>
      <c r="F19" s="77"/>
      <c r="G19" s="77"/>
      <c r="H19" s="77"/>
      <c r="I19" s="77"/>
      <c r="J19" s="45" t="str">
        <f aca="false">IF($A19="","",ROUND($D19/參數設定!$C$19*(E19*4/3+F19*5/3+G19*4/3+H19*5/3+I19),0))</f>
        <v/>
      </c>
      <c r="K19" s="33"/>
      <c r="L19" s="33"/>
      <c r="M19" s="48" t="str">
        <f aca="false">IF($A19="","",ROUND(D19+J19+K19+L19,0))</f>
        <v/>
      </c>
      <c r="N19" s="77"/>
      <c r="O19" s="77"/>
      <c r="P19" s="45" t="str">
        <f aca="false">IF($A19="","",ROUND($D19/參數設定!$C$19*(N19+O19*0.5),0))</f>
        <v/>
      </c>
      <c r="Q19" s="45" t="str">
        <f aca="false">IF($A19="","",ROUND(員工清單!J19*參數設定!$C$8*參數設定!$C$9,0))</f>
        <v/>
      </c>
      <c r="R19" s="45" t="str">
        <f aca="false">IF($A19="","",ROUND(員工清單!L19*參數設定!$C$12*參數設定!$C$13,0)*(1+員工清單!O19))</f>
        <v/>
      </c>
      <c r="S19" s="45" t="str">
        <f aca="false">IF($A19="","",ROUND(員工清單!M19*N(員工清單!P19),0))</f>
        <v/>
      </c>
      <c r="T19" s="33"/>
      <c r="U19" s="45" t="str">
        <f aca="false">IF($A19="","",ROUND(MIN(N(L19),MAX(0,N(T19)-員工清單!L19*4))*參數設定!$C$18,0))</f>
        <v/>
      </c>
      <c r="V19" s="33"/>
      <c r="W19" s="33"/>
      <c r="X19" s="48" t="str">
        <f aca="false">IF($A19="","",P19+Q19+R19+S19+U19+V19+W19)</f>
        <v/>
      </c>
      <c r="Y19" s="78" t="str">
        <f aca="false">IF($A19="","",M19-X19)</f>
        <v/>
      </c>
      <c r="Z19" s="45" t="str">
        <f aca="false">IF($A19="","",ROUND(員工清單!J19*參數設定!$C$8*參數設定!$C$10,0))</f>
        <v/>
      </c>
      <c r="AA19" s="45" t="str">
        <f aca="false">IF($A19="","",ROUND(員工清單!K19*參數設定!$C$11,0))</f>
        <v/>
      </c>
      <c r="AB19" s="45" t="str">
        <f aca="false">IF($A19="","",ROUND(員工清單!L19*參數設定!$C$12*參數設定!$C$14*(1+參數設定!$C$15),0))</f>
        <v/>
      </c>
      <c r="AC19" s="45" t="str">
        <f aca="false">IF($A19="","",ROUND(員工清單!M19*參數設定!$C$17,0))</f>
        <v/>
      </c>
      <c r="AD19" s="48" t="str">
        <f aca="false">IF($A19="","",Z19+AA19+AB19+AC19)</f>
        <v/>
      </c>
      <c r="AE19" s="48" t="str">
        <f aca="false">IF($A19="","",M19+AD19)</f>
        <v/>
      </c>
    </row>
    <row r="20" customFormat="false" ht="15" hidden="false" customHeight="true" outlineLevel="0" collapsed="false">
      <c r="A20" s="75" t="str">
        <f aca="false">IF(員工清單!A20="","",員工清單!A20)</f>
        <v/>
      </c>
      <c r="B20" s="75" t="str">
        <f aca="false">IF($A20="","",員工清單!B20)</f>
        <v/>
      </c>
      <c r="C20" s="75" t="str">
        <f aca="false">IF($A20="","",員工清單!C20)</f>
        <v/>
      </c>
      <c r="D20" s="76" t="str">
        <f aca="false">IF($A20="","",員工清單!I20)</f>
        <v/>
      </c>
      <c r="E20" s="77"/>
      <c r="F20" s="77"/>
      <c r="G20" s="77"/>
      <c r="H20" s="77"/>
      <c r="I20" s="77"/>
      <c r="J20" s="45" t="str">
        <f aca="false">IF($A20="","",ROUND($D20/參數設定!$C$19*(E20*4/3+F20*5/3+G20*4/3+H20*5/3+I20),0))</f>
        <v/>
      </c>
      <c r="K20" s="33"/>
      <c r="L20" s="33"/>
      <c r="M20" s="48" t="str">
        <f aca="false">IF($A20="","",ROUND(D20+J20+K20+L20,0))</f>
        <v/>
      </c>
      <c r="N20" s="77"/>
      <c r="O20" s="77"/>
      <c r="P20" s="45" t="str">
        <f aca="false">IF($A20="","",ROUND($D20/參數設定!$C$19*(N20+O20*0.5),0))</f>
        <v/>
      </c>
      <c r="Q20" s="45" t="str">
        <f aca="false">IF($A20="","",ROUND(員工清單!J20*參數設定!$C$8*參數設定!$C$9,0))</f>
        <v/>
      </c>
      <c r="R20" s="45" t="str">
        <f aca="false">IF($A20="","",ROUND(員工清單!L20*參數設定!$C$12*參數設定!$C$13,0)*(1+員工清單!O20))</f>
        <v/>
      </c>
      <c r="S20" s="45" t="str">
        <f aca="false">IF($A20="","",ROUND(員工清單!M20*N(員工清單!P20),0))</f>
        <v/>
      </c>
      <c r="T20" s="33"/>
      <c r="U20" s="45" t="str">
        <f aca="false">IF($A20="","",ROUND(MIN(N(L20),MAX(0,N(T20)-員工清單!L20*4))*參數設定!$C$18,0))</f>
        <v/>
      </c>
      <c r="V20" s="33"/>
      <c r="W20" s="33"/>
      <c r="X20" s="48" t="str">
        <f aca="false">IF($A20="","",P20+Q20+R20+S20+U20+V20+W20)</f>
        <v/>
      </c>
      <c r="Y20" s="78" t="str">
        <f aca="false">IF($A20="","",M20-X20)</f>
        <v/>
      </c>
      <c r="Z20" s="45" t="str">
        <f aca="false">IF($A20="","",ROUND(員工清單!J20*參數設定!$C$8*參數設定!$C$10,0))</f>
        <v/>
      </c>
      <c r="AA20" s="45" t="str">
        <f aca="false">IF($A20="","",ROUND(員工清單!K20*參數設定!$C$11,0))</f>
        <v/>
      </c>
      <c r="AB20" s="45" t="str">
        <f aca="false">IF($A20="","",ROUND(員工清單!L20*參數設定!$C$12*參數設定!$C$14*(1+參數設定!$C$15),0))</f>
        <v/>
      </c>
      <c r="AC20" s="45" t="str">
        <f aca="false">IF($A20="","",ROUND(員工清單!M20*參數設定!$C$17,0))</f>
        <v/>
      </c>
      <c r="AD20" s="48" t="str">
        <f aca="false">IF($A20="","",Z20+AA20+AB20+AC20)</f>
        <v/>
      </c>
      <c r="AE20" s="48" t="str">
        <f aca="false">IF($A20="","",M20+AD20)</f>
        <v/>
      </c>
    </row>
    <row r="21" customFormat="false" ht="15" hidden="false" customHeight="true" outlineLevel="0" collapsed="false">
      <c r="A21" s="75" t="str">
        <f aca="false">IF(員工清單!A21="","",員工清單!A21)</f>
        <v/>
      </c>
      <c r="B21" s="75" t="str">
        <f aca="false">IF($A21="","",員工清單!B21)</f>
        <v/>
      </c>
      <c r="C21" s="75" t="str">
        <f aca="false">IF($A21="","",員工清單!C21)</f>
        <v/>
      </c>
      <c r="D21" s="76" t="str">
        <f aca="false">IF($A21="","",員工清單!I21)</f>
        <v/>
      </c>
      <c r="E21" s="77"/>
      <c r="F21" s="77"/>
      <c r="G21" s="77"/>
      <c r="H21" s="77"/>
      <c r="I21" s="77"/>
      <c r="J21" s="45" t="str">
        <f aca="false">IF($A21="","",ROUND($D21/參數設定!$C$19*(E21*4/3+F21*5/3+G21*4/3+H21*5/3+I21),0))</f>
        <v/>
      </c>
      <c r="K21" s="33"/>
      <c r="L21" s="33"/>
      <c r="M21" s="48" t="str">
        <f aca="false">IF($A21="","",ROUND(D21+J21+K21+L21,0))</f>
        <v/>
      </c>
      <c r="N21" s="77"/>
      <c r="O21" s="77"/>
      <c r="P21" s="45" t="str">
        <f aca="false">IF($A21="","",ROUND($D21/參數設定!$C$19*(N21+O21*0.5),0))</f>
        <v/>
      </c>
      <c r="Q21" s="45" t="str">
        <f aca="false">IF($A21="","",ROUND(員工清單!J21*參數設定!$C$8*參數設定!$C$9,0))</f>
        <v/>
      </c>
      <c r="R21" s="45" t="str">
        <f aca="false">IF($A21="","",ROUND(員工清單!L21*參數設定!$C$12*參數設定!$C$13,0)*(1+員工清單!O21))</f>
        <v/>
      </c>
      <c r="S21" s="45" t="str">
        <f aca="false">IF($A21="","",ROUND(員工清單!M21*N(員工清單!P21),0))</f>
        <v/>
      </c>
      <c r="T21" s="33"/>
      <c r="U21" s="45" t="str">
        <f aca="false">IF($A21="","",ROUND(MIN(N(L21),MAX(0,N(T21)-員工清單!L21*4))*參數設定!$C$18,0))</f>
        <v/>
      </c>
      <c r="V21" s="33"/>
      <c r="W21" s="33"/>
      <c r="X21" s="48" t="str">
        <f aca="false">IF($A21="","",P21+Q21+R21+S21+U21+V21+W21)</f>
        <v/>
      </c>
      <c r="Y21" s="78" t="str">
        <f aca="false">IF($A21="","",M21-X21)</f>
        <v/>
      </c>
      <c r="Z21" s="45" t="str">
        <f aca="false">IF($A21="","",ROUND(員工清單!J21*參數設定!$C$8*參數設定!$C$10,0))</f>
        <v/>
      </c>
      <c r="AA21" s="45" t="str">
        <f aca="false">IF($A21="","",ROUND(員工清單!K21*參數設定!$C$11,0))</f>
        <v/>
      </c>
      <c r="AB21" s="45" t="str">
        <f aca="false">IF($A21="","",ROUND(員工清單!L21*參數設定!$C$12*參數設定!$C$14*(1+參數設定!$C$15),0))</f>
        <v/>
      </c>
      <c r="AC21" s="45" t="str">
        <f aca="false">IF($A21="","",ROUND(員工清單!M21*參數設定!$C$17,0))</f>
        <v/>
      </c>
      <c r="AD21" s="48" t="str">
        <f aca="false">IF($A21="","",Z21+AA21+AB21+AC21)</f>
        <v/>
      </c>
      <c r="AE21" s="48" t="str">
        <f aca="false">IF($A21="","",M21+AD21)</f>
        <v/>
      </c>
    </row>
    <row r="22" customFormat="false" ht="15" hidden="false" customHeight="true" outlineLevel="0" collapsed="false">
      <c r="A22" s="75" t="str">
        <f aca="false">IF(員工清單!A22="","",員工清單!A22)</f>
        <v/>
      </c>
      <c r="B22" s="75" t="str">
        <f aca="false">IF($A22="","",員工清單!B22)</f>
        <v/>
      </c>
      <c r="C22" s="75" t="str">
        <f aca="false">IF($A22="","",員工清單!C22)</f>
        <v/>
      </c>
      <c r="D22" s="76" t="str">
        <f aca="false">IF($A22="","",員工清單!I22)</f>
        <v/>
      </c>
      <c r="E22" s="77"/>
      <c r="F22" s="77"/>
      <c r="G22" s="77"/>
      <c r="H22" s="77"/>
      <c r="I22" s="77"/>
      <c r="J22" s="45" t="str">
        <f aca="false">IF($A22="","",ROUND($D22/參數設定!$C$19*(E22*4/3+F22*5/3+G22*4/3+H22*5/3+I22),0))</f>
        <v/>
      </c>
      <c r="K22" s="33"/>
      <c r="L22" s="33"/>
      <c r="M22" s="48" t="str">
        <f aca="false">IF($A22="","",ROUND(D22+J22+K22+L22,0))</f>
        <v/>
      </c>
      <c r="N22" s="77"/>
      <c r="O22" s="77"/>
      <c r="P22" s="45" t="str">
        <f aca="false">IF($A22="","",ROUND($D22/參數設定!$C$19*(N22+O22*0.5),0))</f>
        <v/>
      </c>
      <c r="Q22" s="45" t="str">
        <f aca="false">IF($A22="","",ROUND(員工清單!J22*參數設定!$C$8*參數設定!$C$9,0))</f>
        <v/>
      </c>
      <c r="R22" s="45" t="str">
        <f aca="false">IF($A22="","",ROUND(員工清單!L22*參數設定!$C$12*參數設定!$C$13,0)*(1+員工清單!O22))</f>
        <v/>
      </c>
      <c r="S22" s="45" t="str">
        <f aca="false">IF($A22="","",ROUND(員工清單!M22*N(員工清單!P22),0))</f>
        <v/>
      </c>
      <c r="T22" s="33"/>
      <c r="U22" s="45" t="str">
        <f aca="false">IF($A22="","",ROUND(MIN(N(L22),MAX(0,N(T22)-員工清單!L22*4))*參數設定!$C$18,0))</f>
        <v/>
      </c>
      <c r="V22" s="33"/>
      <c r="W22" s="33"/>
      <c r="X22" s="48" t="str">
        <f aca="false">IF($A22="","",P22+Q22+R22+S22+U22+V22+W22)</f>
        <v/>
      </c>
      <c r="Y22" s="78" t="str">
        <f aca="false">IF($A22="","",M22-X22)</f>
        <v/>
      </c>
      <c r="Z22" s="45" t="str">
        <f aca="false">IF($A22="","",ROUND(員工清單!J22*參數設定!$C$8*參數設定!$C$10,0))</f>
        <v/>
      </c>
      <c r="AA22" s="45" t="str">
        <f aca="false">IF($A22="","",ROUND(員工清單!K22*參數設定!$C$11,0))</f>
        <v/>
      </c>
      <c r="AB22" s="45" t="str">
        <f aca="false">IF($A22="","",ROUND(員工清單!L22*參數設定!$C$12*參數設定!$C$14*(1+參數設定!$C$15),0))</f>
        <v/>
      </c>
      <c r="AC22" s="45" t="str">
        <f aca="false">IF($A22="","",ROUND(員工清單!M22*參數設定!$C$17,0))</f>
        <v/>
      </c>
      <c r="AD22" s="48" t="str">
        <f aca="false">IF($A22="","",Z22+AA22+AB22+AC22)</f>
        <v/>
      </c>
      <c r="AE22" s="48" t="str">
        <f aca="false">IF($A22="","",M22+AD22)</f>
        <v/>
      </c>
    </row>
    <row r="23" customFormat="false" ht="15" hidden="false" customHeight="true" outlineLevel="0" collapsed="false">
      <c r="A23" s="75" t="str">
        <f aca="false">IF(員工清單!A23="","",員工清單!A23)</f>
        <v/>
      </c>
      <c r="B23" s="75" t="str">
        <f aca="false">IF($A23="","",員工清單!B23)</f>
        <v/>
      </c>
      <c r="C23" s="75" t="str">
        <f aca="false">IF($A23="","",員工清單!C23)</f>
        <v/>
      </c>
      <c r="D23" s="76" t="str">
        <f aca="false">IF($A23="","",員工清單!I23)</f>
        <v/>
      </c>
      <c r="E23" s="77"/>
      <c r="F23" s="77"/>
      <c r="G23" s="77"/>
      <c r="H23" s="77"/>
      <c r="I23" s="77"/>
      <c r="J23" s="45" t="str">
        <f aca="false">IF($A23="","",ROUND($D23/參數設定!$C$19*(E23*4/3+F23*5/3+G23*4/3+H23*5/3+I23),0))</f>
        <v/>
      </c>
      <c r="K23" s="33"/>
      <c r="L23" s="33"/>
      <c r="M23" s="48" t="str">
        <f aca="false">IF($A23="","",ROUND(D23+J23+K23+L23,0))</f>
        <v/>
      </c>
      <c r="N23" s="77"/>
      <c r="O23" s="77"/>
      <c r="P23" s="45" t="str">
        <f aca="false">IF($A23="","",ROUND($D23/參數設定!$C$19*(N23+O23*0.5),0))</f>
        <v/>
      </c>
      <c r="Q23" s="45" t="str">
        <f aca="false">IF($A23="","",ROUND(員工清單!J23*參數設定!$C$8*參數設定!$C$9,0))</f>
        <v/>
      </c>
      <c r="R23" s="45" t="str">
        <f aca="false">IF($A23="","",ROUND(員工清單!L23*參數設定!$C$12*參數設定!$C$13,0)*(1+員工清單!O23))</f>
        <v/>
      </c>
      <c r="S23" s="45" t="str">
        <f aca="false">IF($A23="","",ROUND(員工清單!M23*N(員工清單!P23),0))</f>
        <v/>
      </c>
      <c r="T23" s="33"/>
      <c r="U23" s="45" t="str">
        <f aca="false">IF($A23="","",ROUND(MIN(N(L23),MAX(0,N(T23)-員工清單!L23*4))*參數設定!$C$18,0))</f>
        <v/>
      </c>
      <c r="V23" s="33"/>
      <c r="W23" s="33"/>
      <c r="X23" s="48" t="str">
        <f aca="false">IF($A23="","",P23+Q23+R23+S23+U23+V23+W23)</f>
        <v/>
      </c>
      <c r="Y23" s="78" t="str">
        <f aca="false">IF($A23="","",M23-X23)</f>
        <v/>
      </c>
      <c r="Z23" s="45" t="str">
        <f aca="false">IF($A23="","",ROUND(員工清單!J23*參數設定!$C$8*參數設定!$C$10,0))</f>
        <v/>
      </c>
      <c r="AA23" s="45" t="str">
        <f aca="false">IF($A23="","",ROUND(員工清單!K23*參數設定!$C$11,0))</f>
        <v/>
      </c>
      <c r="AB23" s="45" t="str">
        <f aca="false">IF($A23="","",ROUND(員工清單!L23*參數設定!$C$12*參數設定!$C$14*(1+參數設定!$C$15),0))</f>
        <v/>
      </c>
      <c r="AC23" s="45" t="str">
        <f aca="false">IF($A23="","",ROUND(員工清單!M23*參數設定!$C$17,0))</f>
        <v/>
      </c>
      <c r="AD23" s="48" t="str">
        <f aca="false">IF($A23="","",Z23+AA23+AB23+AC23)</f>
        <v/>
      </c>
      <c r="AE23" s="48" t="str">
        <f aca="false">IF($A23="","",M23+AD23)</f>
        <v/>
      </c>
    </row>
    <row r="24" customFormat="false" ht="15" hidden="false" customHeight="true" outlineLevel="0" collapsed="false">
      <c r="A24" s="75" t="str">
        <f aca="false">IF(員工清單!A24="","",員工清單!A24)</f>
        <v/>
      </c>
      <c r="B24" s="75" t="str">
        <f aca="false">IF($A24="","",員工清單!B24)</f>
        <v/>
      </c>
      <c r="C24" s="75" t="str">
        <f aca="false">IF($A24="","",員工清單!C24)</f>
        <v/>
      </c>
      <c r="D24" s="76" t="str">
        <f aca="false">IF($A24="","",員工清單!I24)</f>
        <v/>
      </c>
      <c r="E24" s="77"/>
      <c r="F24" s="77"/>
      <c r="G24" s="77"/>
      <c r="H24" s="77"/>
      <c r="I24" s="77"/>
      <c r="J24" s="45" t="str">
        <f aca="false">IF($A24="","",ROUND($D24/參數設定!$C$19*(E24*4/3+F24*5/3+G24*4/3+H24*5/3+I24),0))</f>
        <v/>
      </c>
      <c r="K24" s="33"/>
      <c r="L24" s="33"/>
      <c r="M24" s="48" t="str">
        <f aca="false">IF($A24="","",ROUND(D24+J24+K24+L24,0))</f>
        <v/>
      </c>
      <c r="N24" s="77"/>
      <c r="O24" s="77"/>
      <c r="P24" s="45" t="str">
        <f aca="false">IF($A24="","",ROUND($D24/參數設定!$C$19*(N24+O24*0.5),0))</f>
        <v/>
      </c>
      <c r="Q24" s="45" t="str">
        <f aca="false">IF($A24="","",ROUND(員工清單!J24*參數設定!$C$8*參數設定!$C$9,0))</f>
        <v/>
      </c>
      <c r="R24" s="45" t="str">
        <f aca="false">IF($A24="","",ROUND(員工清單!L24*參數設定!$C$12*參數設定!$C$13,0)*(1+員工清單!O24))</f>
        <v/>
      </c>
      <c r="S24" s="45" t="str">
        <f aca="false">IF($A24="","",ROUND(員工清單!M24*N(員工清單!P24),0))</f>
        <v/>
      </c>
      <c r="T24" s="33"/>
      <c r="U24" s="45" t="str">
        <f aca="false">IF($A24="","",ROUND(MIN(N(L24),MAX(0,N(T24)-員工清單!L24*4))*參數設定!$C$18,0))</f>
        <v/>
      </c>
      <c r="V24" s="33"/>
      <c r="W24" s="33"/>
      <c r="X24" s="48" t="str">
        <f aca="false">IF($A24="","",P24+Q24+R24+S24+U24+V24+W24)</f>
        <v/>
      </c>
      <c r="Y24" s="78" t="str">
        <f aca="false">IF($A24="","",M24-X24)</f>
        <v/>
      </c>
      <c r="Z24" s="45" t="str">
        <f aca="false">IF($A24="","",ROUND(員工清單!J24*參數設定!$C$8*參數設定!$C$10,0))</f>
        <v/>
      </c>
      <c r="AA24" s="45" t="str">
        <f aca="false">IF($A24="","",ROUND(員工清單!K24*參數設定!$C$11,0))</f>
        <v/>
      </c>
      <c r="AB24" s="45" t="str">
        <f aca="false">IF($A24="","",ROUND(員工清單!L24*參數設定!$C$12*參數設定!$C$14*(1+參數設定!$C$15),0))</f>
        <v/>
      </c>
      <c r="AC24" s="45" t="str">
        <f aca="false">IF($A24="","",ROUND(員工清單!M24*參數設定!$C$17,0))</f>
        <v/>
      </c>
      <c r="AD24" s="48" t="str">
        <f aca="false">IF($A24="","",Z24+AA24+AB24+AC24)</f>
        <v/>
      </c>
      <c r="AE24" s="48" t="str">
        <f aca="false">IF($A24="","",M24+AD24)</f>
        <v/>
      </c>
    </row>
    <row r="25" customFormat="false" ht="15" hidden="false" customHeight="true" outlineLevel="0" collapsed="false">
      <c r="A25" s="75" t="str">
        <f aca="false">IF(員工清單!A25="","",員工清單!A25)</f>
        <v/>
      </c>
      <c r="B25" s="75" t="str">
        <f aca="false">IF($A25="","",員工清單!B25)</f>
        <v/>
      </c>
      <c r="C25" s="75" t="str">
        <f aca="false">IF($A25="","",員工清單!C25)</f>
        <v/>
      </c>
      <c r="D25" s="76" t="str">
        <f aca="false">IF($A25="","",員工清單!I25)</f>
        <v/>
      </c>
      <c r="E25" s="77"/>
      <c r="F25" s="77"/>
      <c r="G25" s="77"/>
      <c r="H25" s="77"/>
      <c r="I25" s="77"/>
      <c r="J25" s="45" t="str">
        <f aca="false">IF($A25="","",ROUND($D25/參數設定!$C$19*(E25*4/3+F25*5/3+G25*4/3+H25*5/3+I25),0))</f>
        <v/>
      </c>
      <c r="K25" s="33"/>
      <c r="L25" s="33"/>
      <c r="M25" s="48" t="str">
        <f aca="false">IF($A25="","",ROUND(D25+J25+K25+L25,0))</f>
        <v/>
      </c>
      <c r="N25" s="77"/>
      <c r="O25" s="77"/>
      <c r="P25" s="45" t="str">
        <f aca="false">IF($A25="","",ROUND($D25/參數設定!$C$19*(N25+O25*0.5),0))</f>
        <v/>
      </c>
      <c r="Q25" s="45" t="str">
        <f aca="false">IF($A25="","",ROUND(員工清單!J25*參數設定!$C$8*參數設定!$C$9,0))</f>
        <v/>
      </c>
      <c r="R25" s="45" t="str">
        <f aca="false">IF($A25="","",ROUND(員工清單!L25*參數設定!$C$12*參數設定!$C$13,0)*(1+員工清單!O25))</f>
        <v/>
      </c>
      <c r="S25" s="45" t="str">
        <f aca="false">IF($A25="","",ROUND(員工清單!M25*N(員工清單!P25),0))</f>
        <v/>
      </c>
      <c r="T25" s="33"/>
      <c r="U25" s="45" t="str">
        <f aca="false">IF($A25="","",ROUND(MIN(N(L25),MAX(0,N(T25)-員工清單!L25*4))*參數設定!$C$18,0))</f>
        <v/>
      </c>
      <c r="V25" s="33"/>
      <c r="W25" s="33"/>
      <c r="X25" s="48" t="str">
        <f aca="false">IF($A25="","",P25+Q25+R25+S25+U25+V25+W25)</f>
        <v/>
      </c>
      <c r="Y25" s="78" t="str">
        <f aca="false">IF($A25="","",M25-X25)</f>
        <v/>
      </c>
      <c r="Z25" s="45" t="str">
        <f aca="false">IF($A25="","",ROUND(員工清單!J25*參數設定!$C$8*參數設定!$C$10,0))</f>
        <v/>
      </c>
      <c r="AA25" s="45" t="str">
        <f aca="false">IF($A25="","",ROUND(員工清單!K25*參數設定!$C$11,0))</f>
        <v/>
      </c>
      <c r="AB25" s="45" t="str">
        <f aca="false">IF($A25="","",ROUND(員工清單!L25*參數設定!$C$12*參數設定!$C$14*(1+參數設定!$C$15),0))</f>
        <v/>
      </c>
      <c r="AC25" s="45" t="str">
        <f aca="false">IF($A25="","",ROUND(員工清單!M25*參數設定!$C$17,0))</f>
        <v/>
      </c>
      <c r="AD25" s="48" t="str">
        <f aca="false">IF($A25="","",Z25+AA25+AB25+AC25)</f>
        <v/>
      </c>
      <c r="AE25" s="48" t="str">
        <f aca="false">IF($A25="","",M25+AD25)</f>
        <v/>
      </c>
    </row>
    <row r="26" customFormat="false" ht="15" hidden="false" customHeight="true" outlineLevel="0" collapsed="false">
      <c r="A26" s="75" t="str">
        <f aca="false">IF(員工清單!A26="","",員工清單!A26)</f>
        <v/>
      </c>
      <c r="B26" s="75" t="str">
        <f aca="false">IF($A26="","",員工清單!B26)</f>
        <v/>
      </c>
      <c r="C26" s="75" t="str">
        <f aca="false">IF($A26="","",員工清單!C26)</f>
        <v/>
      </c>
      <c r="D26" s="76" t="str">
        <f aca="false">IF($A26="","",員工清單!I26)</f>
        <v/>
      </c>
      <c r="E26" s="77"/>
      <c r="F26" s="77"/>
      <c r="G26" s="77"/>
      <c r="H26" s="77"/>
      <c r="I26" s="77"/>
      <c r="J26" s="45" t="str">
        <f aca="false">IF($A26="","",ROUND($D26/參數設定!$C$19*(E26*4/3+F26*5/3+G26*4/3+H26*5/3+I26),0))</f>
        <v/>
      </c>
      <c r="K26" s="33"/>
      <c r="L26" s="33"/>
      <c r="M26" s="48" t="str">
        <f aca="false">IF($A26="","",ROUND(D26+J26+K26+L26,0))</f>
        <v/>
      </c>
      <c r="N26" s="77"/>
      <c r="O26" s="77"/>
      <c r="P26" s="45" t="str">
        <f aca="false">IF($A26="","",ROUND($D26/參數設定!$C$19*(N26+O26*0.5),0))</f>
        <v/>
      </c>
      <c r="Q26" s="45" t="str">
        <f aca="false">IF($A26="","",ROUND(員工清單!J26*參數設定!$C$8*參數設定!$C$9,0))</f>
        <v/>
      </c>
      <c r="R26" s="45" t="str">
        <f aca="false">IF($A26="","",ROUND(員工清單!L26*參數設定!$C$12*參數設定!$C$13,0)*(1+員工清單!O26))</f>
        <v/>
      </c>
      <c r="S26" s="45" t="str">
        <f aca="false">IF($A26="","",ROUND(員工清單!M26*N(員工清單!P26),0))</f>
        <v/>
      </c>
      <c r="T26" s="33"/>
      <c r="U26" s="45" t="str">
        <f aca="false">IF($A26="","",ROUND(MIN(N(L26),MAX(0,N(T26)-員工清單!L26*4))*參數設定!$C$18,0))</f>
        <v/>
      </c>
      <c r="V26" s="33"/>
      <c r="W26" s="33"/>
      <c r="X26" s="48" t="str">
        <f aca="false">IF($A26="","",P26+Q26+R26+S26+U26+V26+W26)</f>
        <v/>
      </c>
      <c r="Y26" s="78" t="str">
        <f aca="false">IF($A26="","",M26-X26)</f>
        <v/>
      </c>
      <c r="Z26" s="45" t="str">
        <f aca="false">IF($A26="","",ROUND(員工清單!J26*參數設定!$C$8*參數設定!$C$10,0))</f>
        <v/>
      </c>
      <c r="AA26" s="45" t="str">
        <f aca="false">IF($A26="","",ROUND(員工清單!K26*參數設定!$C$11,0))</f>
        <v/>
      </c>
      <c r="AB26" s="45" t="str">
        <f aca="false">IF($A26="","",ROUND(員工清單!L26*參數設定!$C$12*參數設定!$C$14*(1+參數設定!$C$15),0))</f>
        <v/>
      </c>
      <c r="AC26" s="45" t="str">
        <f aca="false">IF($A26="","",ROUND(員工清單!M26*參數設定!$C$17,0))</f>
        <v/>
      </c>
      <c r="AD26" s="48" t="str">
        <f aca="false">IF($A26="","",Z26+AA26+AB26+AC26)</f>
        <v/>
      </c>
      <c r="AE26" s="48" t="str">
        <f aca="false">IF($A26="","",M26+AD26)</f>
        <v/>
      </c>
    </row>
    <row r="27" customFormat="false" ht="15" hidden="false" customHeight="true" outlineLevel="0" collapsed="false">
      <c r="A27" s="75" t="str">
        <f aca="false">IF(員工清單!A27="","",員工清單!A27)</f>
        <v/>
      </c>
      <c r="B27" s="75" t="str">
        <f aca="false">IF($A27="","",員工清單!B27)</f>
        <v/>
      </c>
      <c r="C27" s="75" t="str">
        <f aca="false">IF($A27="","",員工清單!C27)</f>
        <v/>
      </c>
      <c r="D27" s="76" t="str">
        <f aca="false">IF($A27="","",員工清單!I27)</f>
        <v/>
      </c>
      <c r="E27" s="77"/>
      <c r="F27" s="77"/>
      <c r="G27" s="77"/>
      <c r="H27" s="77"/>
      <c r="I27" s="77"/>
      <c r="J27" s="45" t="str">
        <f aca="false">IF($A27="","",ROUND($D27/參數設定!$C$19*(E27*4/3+F27*5/3+G27*4/3+H27*5/3+I27),0))</f>
        <v/>
      </c>
      <c r="K27" s="33"/>
      <c r="L27" s="33"/>
      <c r="M27" s="48" t="str">
        <f aca="false">IF($A27="","",ROUND(D27+J27+K27+L27,0))</f>
        <v/>
      </c>
      <c r="N27" s="77"/>
      <c r="O27" s="77"/>
      <c r="P27" s="45" t="str">
        <f aca="false">IF($A27="","",ROUND($D27/參數設定!$C$19*(N27+O27*0.5),0))</f>
        <v/>
      </c>
      <c r="Q27" s="45" t="str">
        <f aca="false">IF($A27="","",ROUND(員工清單!J27*參數設定!$C$8*參數設定!$C$9,0))</f>
        <v/>
      </c>
      <c r="R27" s="45" t="str">
        <f aca="false">IF($A27="","",ROUND(員工清單!L27*參數設定!$C$12*參數設定!$C$13,0)*(1+員工清單!O27))</f>
        <v/>
      </c>
      <c r="S27" s="45" t="str">
        <f aca="false">IF($A27="","",ROUND(員工清單!M27*N(員工清單!P27),0))</f>
        <v/>
      </c>
      <c r="T27" s="33"/>
      <c r="U27" s="45" t="str">
        <f aca="false">IF($A27="","",ROUND(MIN(N(L27),MAX(0,N(T27)-員工清單!L27*4))*參數設定!$C$18,0))</f>
        <v/>
      </c>
      <c r="V27" s="33"/>
      <c r="W27" s="33"/>
      <c r="X27" s="48" t="str">
        <f aca="false">IF($A27="","",P27+Q27+R27+S27+U27+V27+W27)</f>
        <v/>
      </c>
      <c r="Y27" s="78" t="str">
        <f aca="false">IF($A27="","",M27-X27)</f>
        <v/>
      </c>
      <c r="Z27" s="45" t="str">
        <f aca="false">IF($A27="","",ROUND(員工清單!J27*參數設定!$C$8*參數設定!$C$10,0))</f>
        <v/>
      </c>
      <c r="AA27" s="45" t="str">
        <f aca="false">IF($A27="","",ROUND(員工清單!K27*參數設定!$C$11,0))</f>
        <v/>
      </c>
      <c r="AB27" s="45" t="str">
        <f aca="false">IF($A27="","",ROUND(員工清單!L27*參數設定!$C$12*參數設定!$C$14*(1+參數設定!$C$15),0))</f>
        <v/>
      </c>
      <c r="AC27" s="45" t="str">
        <f aca="false">IF($A27="","",ROUND(員工清單!M27*參數設定!$C$17,0))</f>
        <v/>
      </c>
      <c r="AD27" s="48" t="str">
        <f aca="false">IF($A27="","",Z27+AA27+AB27+AC27)</f>
        <v/>
      </c>
      <c r="AE27" s="48" t="str">
        <f aca="false">IF($A27="","",M27+AD27)</f>
        <v/>
      </c>
    </row>
    <row r="28" customFormat="false" ht="15" hidden="false" customHeight="true" outlineLevel="0" collapsed="false">
      <c r="A28" s="75" t="str">
        <f aca="false">IF(員工清單!A28="","",員工清單!A28)</f>
        <v/>
      </c>
      <c r="B28" s="75" t="str">
        <f aca="false">IF($A28="","",員工清單!B28)</f>
        <v/>
      </c>
      <c r="C28" s="75" t="str">
        <f aca="false">IF($A28="","",員工清單!C28)</f>
        <v/>
      </c>
      <c r="D28" s="76" t="str">
        <f aca="false">IF($A28="","",員工清單!I28)</f>
        <v/>
      </c>
      <c r="E28" s="77"/>
      <c r="F28" s="77"/>
      <c r="G28" s="77"/>
      <c r="H28" s="77"/>
      <c r="I28" s="77"/>
      <c r="J28" s="45" t="str">
        <f aca="false">IF($A28="","",ROUND($D28/參數設定!$C$19*(E28*4/3+F28*5/3+G28*4/3+H28*5/3+I28),0))</f>
        <v/>
      </c>
      <c r="K28" s="33"/>
      <c r="L28" s="33"/>
      <c r="M28" s="48" t="str">
        <f aca="false">IF($A28="","",ROUND(D28+J28+K28+L28,0))</f>
        <v/>
      </c>
      <c r="N28" s="77"/>
      <c r="O28" s="77"/>
      <c r="P28" s="45" t="str">
        <f aca="false">IF($A28="","",ROUND($D28/參數設定!$C$19*(N28+O28*0.5),0))</f>
        <v/>
      </c>
      <c r="Q28" s="45" t="str">
        <f aca="false">IF($A28="","",ROUND(員工清單!J28*參數設定!$C$8*參數設定!$C$9,0))</f>
        <v/>
      </c>
      <c r="R28" s="45" t="str">
        <f aca="false">IF($A28="","",ROUND(員工清單!L28*參數設定!$C$12*參數設定!$C$13,0)*(1+員工清單!O28))</f>
        <v/>
      </c>
      <c r="S28" s="45" t="str">
        <f aca="false">IF($A28="","",ROUND(員工清單!M28*N(員工清單!P28),0))</f>
        <v/>
      </c>
      <c r="T28" s="33"/>
      <c r="U28" s="45" t="str">
        <f aca="false">IF($A28="","",ROUND(MIN(N(L28),MAX(0,N(T28)-員工清單!L28*4))*參數設定!$C$18,0))</f>
        <v/>
      </c>
      <c r="V28" s="33"/>
      <c r="W28" s="33"/>
      <c r="X28" s="48" t="str">
        <f aca="false">IF($A28="","",P28+Q28+R28+S28+U28+V28+W28)</f>
        <v/>
      </c>
      <c r="Y28" s="78" t="str">
        <f aca="false">IF($A28="","",M28-X28)</f>
        <v/>
      </c>
      <c r="Z28" s="45" t="str">
        <f aca="false">IF($A28="","",ROUND(員工清單!J28*參數設定!$C$8*參數設定!$C$10,0))</f>
        <v/>
      </c>
      <c r="AA28" s="45" t="str">
        <f aca="false">IF($A28="","",ROUND(員工清單!K28*參數設定!$C$11,0))</f>
        <v/>
      </c>
      <c r="AB28" s="45" t="str">
        <f aca="false">IF($A28="","",ROUND(員工清單!L28*參數設定!$C$12*參數設定!$C$14*(1+參數設定!$C$15),0))</f>
        <v/>
      </c>
      <c r="AC28" s="45" t="str">
        <f aca="false">IF($A28="","",ROUND(員工清單!M28*參數設定!$C$17,0))</f>
        <v/>
      </c>
      <c r="AD28" s="48" t="str">
        <f aca="false">IF($A28="","",Z28+AA28+AB28+AC28)</f>
        <v/>
      </c>
      <c r="AE28" s="48" t="str">
        <f aca="false">IF($A28="","",M28+AD28)</f>
        <v/>
      </c>
    </row>
    <row r="29" customFormat="false" ht="15" hidden="false" customHeight="true" outlineLevel="0" collapsed="false">
      <c r="A29" s="75" t="str">
        <f aca="false">IF(員工清單!A29="","",員工清單!A29)</f>
        <v/>
      </c>
      <c r="B29" s="75" t="str">
        <f aca="false">IF($A29="","",員工清單!B29)</f>
        <v/>
      </c>
      <c r="C29" s="75" t="str">
        <f aca="false">IF($A29="","",員工清單!C29)</f>
        <v/>
      </c>
      <c r="D29" s="76" t="str">
        <f aca="false">IF($A29="","",員工清單!I29)</f>
        <v/>
      </c>
      <c r="E29" s="77"/>
      <c r="F29" s="77"/>
      <c r="G29" s="77"/>
      <c r="H29" s="77"/>
      <c r="I29" s="77"/>
      <c r="J29" s="45" t="str">
        <f aca="false">IF($A29="","",ROUND($D29/參數設定!$C$19*(E29*4/3+F29*5/3+G29*4/3+H29*5/3+I29),0))</f>
        <v/>
      </c>
      <c r="K29" s="33"/>
      <c r="L29" s="33"/>
      <c r="M29" s="48" t="str">
        <f aca="false">IF($A29="","",ROUND(D29+J29+K29+L29,0))</f>
        <v/>
      </c>
      <c r="N29" s="77"/>
      <c r="O29" s="77"/>
      <c r="P29" s="45" t="str">
        <f aca="false">IF($A29="","",ROUND($D29/參數設定!$C$19*(N29+O29*0.5),0))</f>
        <v/>
      </c>
      <c r="Q29" s="45" t="str">
        <f aca="false">IF($A29="","",ROUND(員工清單!J29*參數設定!$C$8*參數設定!$C$9,0))</f>
        <v/>
      </c>
      <c r="R29" s="45" t="str">
        <f aca="false">IF($A29="","",ROUND(員工清單!L29*參數設定!$C$12*參數設定!$C$13,0)*(1+員工清單!O29))</f>
        <v/>
      </c>
      <c r="S29" s="45" t="str">
        <f aca="false">IF($A29="","",ROUND(員工清單!M29*N(員工清單!P29),0))</f>
        <v/>
      </c>
      <c r="T29" s="33"/>
      <c r="U29" s="45" t="str">
        <f aca="false">IF($A29="","",ROUND(MIN(N(L29),MAX(0,N(T29)-員工清單!L29*4))*參數設定!$C$18,0))</f>
        <v/>
      </c>
      <c r="V29" s="33"/>
      <c r="W29" s="33"/>
      <c r="X29" s="48" t="str">
        <f aca="false">IF($A29="","",P29+Q29+R29+S29+U29+V29+W29)</f>
        <v/>
      </c>
      <c r="Y29" s="78" t="str">
        <f aca="false">IF($A29="","",M29-X29)</f>
        <v/>
      </c>
      <c r="Z29" s="45" t="str">
        <f aca="false">IF($A29="","",ROUND(員工清單!J29*參數設定!$C$8*參數設定!$C$10,0))</f>
        <v/>
      </c>
      <c r="AA29" s="45" t="str">
        <f aca="false">IF($A29="","",ROUND(員工清單!K29*參數設定!$C$11,0))</f>
        <v/>
      </c>
      <c r="AB29" s="45" t="str">
        <f aca="false">IF($A29="","",ROUND(員工清單!L29*參數設定!$C$12*參數設定!$C$14*(1+參數設定!$C$15),0))</f>
        <v/>
      </c>
      <c r="AC29" s="45" t="str">
        <f aca="false">IF($A29="","",ROUND(員工清單!M29*參數設定!$C$17,0))</f>
        <v/>
      </c>
      <c r="AD29" s="48" t="str">
        <f aca="false">IF($A29="","",Z29+AA29+AB29+AC29)</f>
        <v/>
      </c>
      <c r="AE29" s="48" t="str">
        <f aca="false">IF($A29="","",M29+AD29)</f>
        <v/>
      </c>
    </row>
    <row r="30" customFormat="false" ht="15" hidden="false" customHeight="true" outlineLevel="0" collapsed="false">
      <c r="A30" s="75" t="str">
        <f aca="false">IF(員工清單!A30="","",員工清單!A30)</f>
        <v/>
      </c>
      <c r="B30" s="75" t="str">
        <f aca="false">IF($A30="","",員工清單!B30)</f>
        <v/>
      </c>
      <c r="C30" s="75" t="str">
        <f aca="false">IF($A30="","",員工清單!C30)</f>
        <v/>
      </c>
      <c r="D30" s="76" t="str">
        <f aca="false">IF($A30="","",員工清單!I30)</f>
        <v/>
      </c>
      <c r="E30" s="77"/>
      <c r="F30" s="77"/>
      <c r="G30" s="77"/>
      <c r="H30" s="77"/>
      <c r="I30" s="77"/>
      <c r="J30" s="45" t="str">
        <f aca="false">IF($A30="","",ROUND($D30/參數設定!$C$19*(E30*4/3+F30*5/3+G30*4/3+H30*5/3+I30),0))</f>
        <v/>
      </c>
      <c r="K30" s="33"/>
      <c r="L30" s="33"/>
      <c r="M30" s="48" t="str">
        <f aca="false">IF($A30="","",ROUND(D30+J30+K30+L30,0))</f>
        <v/>
      </c>
      <c r="N30" s="77"/>
      <c r="O30" s="77"/>
      <c r="P30" s="45" t="str">
        <f aca="false">IF($A30="","",ROUND($D30/參數設定!$C$19*(N30+O30*0.5),0))</f>
        <v/>
      </c>
      <c r="Q30" s="45" t="str">
        <f aca="false">IF($A30="","",ROUND(員工清單!J30*參數設定!$C$8*參數設定!$C$9,0))</f>
        <v/>
      </c>
      <c r="R30" s="45" t="str">
        <f aca="false">IF($A30="","",ROUND(員工清單!L30*參數設定!$C$12*參數設定!$C$13,0)*(1+員工清單!O30))</f>
        <v/>
      </c>
      <c r="S30" s="45" t="str">
        <f aca="false">IF($A30="","",ROUND(員工清單!M30*N(員工清單!P30),0))</f>
        <v/>
      </c>
      <c r="T30" s="33"/>
      <c r="U30" s="45" t="str">
        <f aca="false">IF($A30="","",ROUND(MIN(N(L30),MAX(0,N(T30)-員工清單!L30*4))*參數設定!$C$18,0))</f>
        <v/>
      </c>
      <c r="V30" s="33"/>
      <c r="W30" s="33"/>
      <c r="X30" s="48" t="str">
        <f aca="false">IF($A30="","",P30+Q30+R30+S30+U30+V30+W30)</f>
        <v/>
      </c>
      <c r="Y30" s="78" t="str">
        <f aca="false">IF($A30="","",M30-X30)</f>
        <v/>
      </c>
      <c r="Z30" s="45" t="str">
        <f aca="false">IF($A30="","",ROUND(員工清單!J30*參數設定!$C$8*參數設定!$C$10,0))</f>
        <v/>
      </c>
      <c r="AA30" s="45" t="str">
        <f aca="false">IF($A30="","",ROUND(員工清單!K30*參數設定!$C$11,0))</f>
        <v/>
      </c>
      <c r="AB30" s="45" t="str">
        <f aca="false">IF($A30="","",ROUND(員工清單!L30*參數設定!$C$12*參數設定!$C$14*(1+參數設定!$C$15),0))</f>
        <v/>
      </c>
      <c r="AC30" s="45" t="str">
        <f aca="false">IF($A30="","",ROUND(員工清單!M30*參數設定!$C$17,0))</f>
        <v/>
      </c>
      <c r="AD30" s="48" t="str">
        <f aca="false">IF($A30="","",Z30+AA30+AB30+AC30)</f>
        <v/>
      </c>
      <c r="AE30" s="48" t="str">
        <f aca="false">IF($A30="","",M30+AD30)</f>
        <v/>
      </c>
    </row>
    <row r="31" customFormat="false" ht="15" hidden="false" customHeight="true" outlineLevel="0" collapsed="false">
      <c r="A31" s="75" t="str">
        <f aca="false">IF(員工清單!A31="","",員工清單!A31)</f>
        <v/>
      </c>
      <c r="B31" s="75" t="str">
        <f aca="false">IF($A31="","",員工清單!B31)</f>
        <v/>
      </c>
      <c r="C31" s="75" t="str">
        <f aca="false">IF($A31="","",員工清單!C31)</f>
        <v/>
      </c>
      <c r="D31" s="76" t="str">
        <f aca="false">IF($A31="","",員工清單!I31)</f>
        <v/>
      </c>
      <c r="E31" s="77"/>
      <c r="F31" s="77"/>
      <c r="G31" s="77"/>
      <c r="H31" s="77"/>
      <c r="I31" s="77"/>
      <c r="J31" s="45" t="str">
        <f aca="false">IF($A31="","",ROUND($D31/參數設定!$C$19*(E31*4/3+F31*5/3+G31*4/3+H31*5/3+I31),0))</f>
        <v/>
      </c>
      <c r="K31" s="33"/>
      <c r="L31" s="33"/>
      <c r="M31" s="48" t="str">
        <f aca="false">IF($A31="","",ROUND(D31+J31+K31+L31,0))</f>
        <v/>
      </c>
      <c r="N31" s="77"/>
      <c r="O31" s="77"/>
      <c r="P31" s="45" t="str">
        <f aca="false">IF($A31="","",ROUND($D31/參數設定!$C$19*(N31+O31*0.5),0))</f>
        <v/>
      </c>
      <c r="Q31" s="45" t="str">
        <f aca="false">IF($A31="","",ROUND(員工清單!J31*參數設定!$C$8*參數設定!$C$9,0))</f>
        <v/>
      </c>
      <c r="R31" s="45" t="str">
        <f aca="false">IF($A31="","",ROUND(員工清單!L31*參數設定!$C$12*參數設定!$C$13,0)*(1+員工清單!O31))</f>
        <v/>
      </c>
      <c r="S31" s="45" t="str">
        <f aca="false">IF($A31="","",ROUND(員工清單!M31*N(員工清單!P31),0))</f>
        <v/>
      </c>
      <c r="T31" s="33"/>
      <c r="U31" s="45" t="str">
        <f aca="false">IF($A31="","",ROUND(MIN(N(L31),MAX(0,N(T31)-員工清單!L31*4))*參數設定!$C$18,0))</f>
        <v/>
      </c>
      <c r="V31" s="33"/>
      <c r="W31" s="33"/>
      <c r="X31" s="48" t="str">
        <f aca="false">IF($A31="","",P31+Q31+R31+S31+U31+V31+W31)</f>
        <v/>
      </c>
      <c r="Y31" s="78" t="str">
        <f aca="false">IF($A31="","",M31-X31)</f>
        <v/>
      </c>
      <c r="Z31" s="45" t="str">
        <f aca="false">IF($A31="","",ROUND(員工清單!J31*參數設定!$C$8*參數設定!$C$10,0))</f>
        <v/>
      </c>
      <c r="AA31" s="45" t="str">
        <f aca="false">IF($A31="","",ROUND(員工清單!K31*參數設定!$C$11,0))</f>
        <v/>
      </c>
      <c r="AB31" s="45" t="str">
        <f aca="false">IF($A31="","",ROUND(員工清單!L31*參數設定!$C$12*參數設定!$C$14*(1+參數設定!$C$15),0))</f>
        <v/>
      </c>
      <c r="AC31" s="45" t="str">
        <f aca="false">IF($A31="","",ROUND(員工清單!M31*參數設定!$C$17,0))</f>
        <v/>
      </c>
      <c r="AD31" s="48" t="str">
        <f aca="false">IF($A31="","",Z31+AA31+AB31+AC31)</f>
        <v/>
      </c>
      <c r="AE31" s="48" t="str">
        <f aca="false">IF($A31="","",M31+AD31)</f>
        <v/>
      </c>
    </row>
    <row r="32" customFormat="false" ht="15" hidden="false" customHeight="true" outlineLevel="0" collapsed="false">
      <c r="A32" s="75" t="str">
        <f aca="false">IF(員工清單!A32="","",員工清單!A32)</f>
        <v/>
      </c>
      <c r="B32" s="75" t="str">
        <f aca="false">IF($A32="","",員工清單!B32)</f>
        <v/>
      </c>
      <c r="C32" s="75" t="str">
        <f aca="false">IF($A32="","",員工清單!C32)</f>
        <v/>
      </c>
      <c r="D32" s="76" t="str">
        <f aca="false">IF($A32="","",員工清單!I32)</f>
        <v/>
      </c>
      <c r="E32" s="77"/>
      <c r="F32" s="77"/>
      <c r="G32" s="77"/>
      <c r="H32" s="77"/>
      <c r="I32" s="77"/>
      <c r="J32" s="45" t="str">
        <f aca="false">IF($A32="","",ROUND($D32/參數設定!$C$19*(E32*4/3+F32*5/3+G32*4/3+H32*5/3+I32),0))</f>
        <v/>
      </c>
      <c r="K32" s="33"/>
      <c r="L32" s="33"/>
      <c r="M32" s="48" t="str">
        <f aca="false">IF($A32="","",ROUND(D32+J32+K32+L32,0))</f>
        <v/>
      </c>
      <c r="N32" s="77"/>
      <c r="O32" s="77"/>
      <c r="P32" s="45" t="str">
        <f aca="false">IF($A32="","",ROUND($D32/參數設定!$C$19*(N32+O32*0.5),0))</f>
        <v/>
      </c>
      <c r="Q32" s="45" t="str">
        <f aca="false">IF($A32="","",ROUND(員工清單!J32*參數設定!$C$8*參數設定!$C$9,0))</f>
        <v/>
      </c>
      <c r="R32" s="45" t="str">
        <f aca="false">IF($A32="","",ROUND(員工清單!L32*參數設定!$C$12*參數設定!$C$13,0)*(1+員工清單!O32))</f>
        <v/>
      </c>
      <c r="S32" s="45" t="str">
        <f aca="false">IF($A32="","",ROUND(員工清單!M32*N(員工清單!P32),0))</f>
        <v/>
      </c>
      <c r="T32" s="33"/>
      <c r="U32" s="45" t="str">
        <f aca="false">IF($A32="","",ROUND(MIN(N(L32),MAX(0,N(T32)-員工清單!L32*4))*參數設定!$C$18,0))</f>
        <v/>
      </c>
      <c r="V32" s="33"/>
      <c r="W32" s="33"/>
      <c r="X32" s="48" t="str">
        <f aca="false">IF($A32="","",P32+Q32+R32+S32+U32+V32+W32)</f>
        <v/>
      </c>
      <c r="Y32" s="78" t="str">
        <f aca="false">IF($A32="","",M32-X32)</f>
        <v/>
      </c>
      <c r="Z32" s="45" t="str">
        <f aca="false">IF($A32="","",ROUND(員工清單!J32*參數設定!$C$8*參數設定!$C$10,0))</f>
        <v/>
      </c>
      <c r="AA32" s="45" t="str">
        <f aca="false">IF($A32="","",ROUND(員工清單!K32*參數設定!$C$11,0))</f>
        <v/>
      </c>
      <c r="AB32" s="45" t="str">
        <f aca="false">IF($A32="","",ROUND(員工清單!L32*參數設定!$C$12*參數設定!$C$14*(1+參數設定!$C$15),0))</f>
        <v/>
      </c>
      <c r="AC32" s="45" t="str">
        <f aca="false">IF($A32="","",ROUND(員工清單!M32*參數設定!$C$17,0))</f>
        <v/>
      </c>
      <c r="AD32" s="48" t="str">
        <f aca="false">IF($A32="","",Z32+AA32+AB32+AC32)</f>
        <v/>
      </c>
      <c r="AE32" s="48" t="str">
        <f aca="false">IF($A32="","",M32+AD32)</f>
        <v/>
      </c>
    </row>
    <row r="33" customFormat="false" ht="15" hidden="false" customHeight="true" outlineLevel="0" collapsed="false">
      <c r="A33" s="75" t="str">
        <f aca="false">IF(員工清單!A33="","",員工清單!A33)</f>
        <v/>
      </c>
      <c r="B33" s="75" t="str">
        <f aca="false">IF($A33="","",員工清單!B33)</f>
        <v/>
      </c>
      <c r="C33" s="75" t="str">
        <f aca="false">IF($A33="","",員工清單!C33)</f>
        <v/>
      </c>
      <c r="D33" s="76" t="str">
        <f aca="false">IF($A33="","",員工清單!I33)</f>
        <v/>
      </c>
      <c r="E33" s="77"/>
      <c r="F33" s="77"/>
      <c r="G33" s="77"/>
      <c r="H33" s="77"/>
      <c r="I33" s="77"/>
      <c r="J33" s="45" t="str">
        <f aca="false">IF($A33="","",ROUND($D33/參數設定!$C$19*(E33*4/3+F33*5/3+G33*4/3+H33*5/3+I33),0))</f>
        <v/>
      </c>
      <c r="K33" s="33"/>
      <c r="L33" s="33"/>
      <c r="M33" s="48" t="str">
        <f aca="false">IF($A33="","",ROUND(D33+J33+K33+L33,0))</f>
        <v/>
      </c>
      <c r="N33" s="77"/>
      <c r="O33" s="77"/>
      <c r="P33" s="45" t="str">
        <f aca="false">IF($A33="","",ROUND($D33/參數設定!$C$19*(N33+O33*0.5),0))</f>
        <v/>
      </c>
      <c r="Q33" s="45" t="str">
        <f aca="false">IF($A33="","",ROUND(員工清單!J33*參數設定!$C$8*參數設定!$C$9,0))</f>
        <v/>
      </c>
      <c r="R33" s="45" t="str">
        <f aca="false">IF($A33="","",ROUND(員工清單!L33*參數設定!$C$12*參數設定!$C$13,0)*(1+員工清單!O33))</f>
        <v/>
      </c>
      <c r="S33" s="45" t="str">
        <f aca="false">IF($A33="","",ROUND(員工清單!M33*N(員工清單!P33),0))</f>
        <v/>
      </c>
      <c r="T33" s="33"/>
      <c r="U33" s="45" t="str">
        <f aca="false">IF($A33="","",ROUND(MIN(N(L33),MAX(0,N(T33)-員工清單!L33*4))*參數設定!$C$18,0))</f>
        <v/>
      </c>
      <c r="V33" s="33"/>
      <c r="W33" s="33"/>
      <c r="X33" s="48" t="str">
        <f aca="false">IF($A33="","",P33+Q33+R33+S33+U33+V33+W33)</f>
        <v/>
      </c>
      <c r="Y33" s="78" t="str">
        <f aca="false">IF($A33="","",M33-X33)</f>
        <v/>
      </c>
      <c r="Z33" s="45" t="str">
        <f aca="false">IF($A33="","",ROUND(員工清單!J33*參數設定!$C$8*參數設定!$C$10,0))</f>
        <v/>
      </c>
      <c r="AA33" s="45" t="str">
        <f aca="false">IF($A33="","",ROUND(員工清單!K33*參數設定!$C$11,0))</f>
        <v/>
      </c>
      <c r="AB33" s="45" t="str">
        <f aca="false">IF($A33="","",ROUND(員工清單!L33*參數設定!$C$12*參數設定!$C$14*(1+參數設定!$C$15),0))</f>
        <v/>
      </c>
      <c r="AC33" s="45" t="str">
        <f aca="false">IF($A33="","",ROUND(員工清單!M33*參數設定!$C$17,0))</f>
        <v/>
      </c>
      <c r="AD33" s="48" t="str">
        <f aca="false">IF($A33="","",Z33+AA33+AB33+AC33)</f>
        <v/>
      </c>
      <c r="AE33" s="48" t="str">
        <f aca="false">IF($A33="","",M33+AD33)</f>
        <v/>
      </c>
    </row>
    <row r="34" customFormat="false" ht="15" hidden="false" customHeight="true" outlineLevel="0" collapsed="false">
      <c r="A34" s="75" t="str">
        <f aca="false">IF(員工清單!A34="","",員工清單!A34)</f>
        <v/>
      </c>
      <c r="B34" s="75" t="str">
        <f aca="false">IF($A34="","",員工清單!B34)</f>
        <v/>
      </c>
      <c r="C34" s="75" t="str">
        <f aca="false">IF($A34="","",員工清單!C34)</f>
        <v/>
      </c>
      <c r="D34" s="76" t="str">
        <f aca="false">IF($A34="","",員工清單!I34)</f>
        <v/>
      </c>
      <c r="E34" s="77"/>
      <c r="F34" s="77"/>
      <c r="G34" s="77"/>
      <c r="H34" s="77"/>
      <c r="I34" s="77"/>
      <c r="J34" s="45" t="str">
        <f aca="false">IF($A34="","",ROUND($D34/參數設定!$C$19*(E34*4/3+F34*5/3+G34*4/3+H34*5/3+I34),0))</f>
        <v/>
      </c>
      <c r="K34" s="33"/>
      <c r="L34" s="33"/>
      <c r="M34" s="48" t="str">
        <f aca="false">IF($A34="","",ROUND(D34+J34+K34+L34,0))</f>
        <v/>
      </c>
      <c r="N34" s="77"/>
      <c r="O34" s="77"/>
      <c r="P34" s="45" t="str">
        <f aca="false">IF($A34="","",ROUND($D34/參數設定!$C$19*(N34+O34*0.5),0))</f>
        <v/>
      </c>
      <c r="Q34" s="45" t="str">
        <f aca="false">IF($A34="","",ROUND(員工清單!J34*參數設定!$C$8*參數設定!$C$9,0))</f>
        <v/>
      </c>
      <c r="R34" s="45" t="str">
        <f aca="false">IF($A34="","",ROUND(員工清單!L34*參數設定!$C$12*參數設定!$C$13,0)*(1+員工清單!O34))</f>
        <v/>
      </c>
      <c r="S34" s="45" t="str">
        <f aca="false">IF($A34="","",ROUND(員工清單!M34*N(員工清單!P34),0))</f>
        <v/>
      </c>
      <c r="T34" s="33"/>
      <c r="U34" s="45" t="str">
        <f aca="false">IF($A34="","",ROUND(MIN(N(L34),MAX(0,N(T34)-員工清單!L34*4))*參數設定!$C$18,0))</f>
        <v/>
      </c>
      <c r="V34" s="33"/>
      <c r="W34" s="33"/>
      <c r="X34" s="48" t="str">
        <f aca="false">IF($A34="","",P34+Q34+R34+S34+U34+V34+W34)</f>
        <v/>
      </c>
      <c r="Y34" s="78" t="str">
        <f aca="false">IF($A34="","",M34-X34)</f>
        <v/>
      </c>
      <c r="Z34" s="45" t="str">
        <f aca="false">IF($A34="","",ROUND(員工清單!J34*參數設定!$C$8*參數設定!$C$10,0))</f>
        <v/>
      </c>
      <c r="AA34" s="45" t="str">
        <f aca="false">IF($A34="","",ROUND(員工清單!K34*參數設定!$C$11,0))</f>
        <v/>
      </c>
      <c r="AB34" s="45" t="str">
        <f aca="false">IF($A34="","",ROUND(員工清單!L34*參數設定!$C$12*參數設定!$C$14*(1+參數設定!$C$15),0))</f>
        <v/>
      </c>
      <c r="AC34" s="45" t="str">
        <f aca="false">IF($A34="","",ROUND(員工清單!M34*參數設定!$C$17,0))</f>
        <v/>
      </c>
      <c r="AD34" s="48" t="str">
        <f aca="false">IF($A34="","",Z34+AA34+AB34+AC34)</f>
        <v/>
      </c>
      <c r="AE34" s="48" t="str">
        <f aca="false">IF($A34="","",M34+AD34)</f>
        <v/>
      </c>
    </row>
    <row r="35" customFormat="false" ht="15" hidden="false" customHeight="true" outlineLevel="0" collapsed="false">
      <c r="A35" s="75" t="str">
        <f aca="false">IF(員工清單!A35="","",員工清單!A35)</f>
        <v/>
      </c>
      <c r="B35" s="75" t="str">
        <f aca="false">IF($A35="","",員工清單!B35)</f>
        <v/>
      </c>
      <c r="C35" s="75" t="str">
        <f aca="false">IF($A35="","",員工清單!C35)</f>
        <v/>
      </c>
      <c r="D35" s="76" t="str">
        <f aca="false">IF($A35="","",員工清單!I35)</f>
        <v/>
      </c>
      <c r="E35" s="77"/>
      <c r="F35" s="77"/>
      <c r="G35" s="77"/>
      <c r="H35" s="77"/>
      <c r="I35" s="77"/>
      <c r="J35" s="45" t="str">
        <f aca="false">IF($A35="","",ROUND($D35/參數設定!$C$19*(E35*4/3+F35*5/3+G35*4/3+H35*5/3+I35),0))</f>
        <v/>
      </c>
      <c r="K35" s="33"/>
      <c r="L35" s="33"/>
      <c r="M35" s="48" t="str">
        <f aca="false">IF($A35="","",ROUND(D35+J35+K35+L35,0))</f>
        <v/>
      </c>
      <c r="N35" s="77"/>
      <c r="O35" s="77"/>
      <c r="P35" s="45" t="str">
        <f aca="false">IF($A35="","",ROUND($D35/參數設定!$C$19*(N35+O35*0.5),0))</f>
        <v/>
      </c>
      <c r="Q35" s="45" t="str">
        <f aca="false">IF($A35="","",ROUND(員工清單!J35*參數設定!$C$8*參數設定!$C$9,0))</f>
        <v/>
      </c>
      <c r="R35" s="45" t="str">
        <f aca="false">IF($A35="","",ROUND(員工清單!L35*參數設定!$C$12*參數設定!$C$13,0)*(1+員工清單!O35))</f>
        <v/>
      </c>
      <c r="S35" s="45" t="str">
        <f aca="false">IF($A35="","",ROUND(員工清單!M35*N(員工清單!P35),0))</f>
        <v/>
      </c>
      <c r="T35" s="33"/>
      <c r="U35" s="45" t="str">
        <f aca="false">IF($A35="","",ROUND(MIN(N(L35),MAX(0,N(T35)-員工清單!L35*4))*參數設定!$C$18,0))</f>
        <v/>
      </c>
      <c r="V35" s="33"/>
      <c r="W35" s="33"/>
      <c r="X35" s="48" t="str">
        <f aca="false">IF($A35="","",P35+Q35+R35+S35+U35+V35+W35)</f>
        <v/>
      </c>
      <c r="Y35" s="78" t="str">
        <f aca="false">IF($A35="","",M35-X35)</f>
        <v/>
      </c>
      <c r="Z35" s="45" t="str">
        <f aca="false">IF($A35="","",ROUND(員工清單!J35*參數設定!$C$8*參數設定!$C$10,0))</f>
        <v/>
      </c>
      <c r="AA35" s="45" t="str">
        <f aca="false">IF($A35="","",ROUND(員工清單!K35*參數設定!$C$11,0))</f>
        <v/>
      </c>
      <c r="AB35" s="45" t="str">
        <f aca="false">IF($A35="","",ROUND(員工清單!L35*參數設定!$C$12*參數設定!$C$14*(1+參數設定!$C$15),0))</f>
        <v/>
      </c>
      <c r="AC35" s="45" t="str">
        <f aca="false">IF($A35="","",ROUND(員工清單!M35*參數設定!$C$17,0))</f>
        <v/>
      </c>
      <c r="AD35" s="48" t="str">
        <f aca="false">IF($A35="","",Z35+AA35+AB35+AC35)</f>
        <v/>
      </c>
      <c r="AE35" s="48" t="str">
        <f aca="false">IF($A35="","",M35+AD35)</f>
        <v/>
      </c>
    </row>
    <row r="36" customFormat="false" ht="15" hidden="false" customHeight="true" outlineLevel="0" collapsed="false">
      <c r="A36" s="75" t="str">
        <f aca="false">IF(員工清單!A36="","",員工清單!A36)</f>
        <v/>
      </c>
      <c r="B36" s="75" t="str">
        <f aca="false">IF($A36="","",員工清單!B36)</f>
        <v/>
      </c>
      <c r="C36" s="75" t="str">
        <f aca="false">IF($A36="","",員工清單!C36)</f>
        <v/>
      </c>
      <c r="D36" s="76" t="str">
        <f aca="false">IF($A36="","",員工清單!I36)</f>
        <v/>
      </c>
      <c r="E36" s="77"/>
      <c r="F36" s="77"/>
      <c r="G36" s="77"/>
      <c r="H36" s="77"/>
      <c r="I36" s="77"/>
      <c r="J36" s="45" t="str">
        <f aca="false">IF($A36="","",ROUND($D36/參數設定!$C$19*(E36*4/3+F36*5/3+G36*4/3+H36*5/3+I36),0))</f>
        <v/>
      </c>
      <c r="K36" s="33"/>
      <c r="L36" s="33"/>
      <c r="M36" s="48" t="str">
        <f aca="false">IF($A36="","",ROUND(D36+J36+K36+L36,0))</f>
        <v/>
      </c>
      <c r="N36" s="77"/>
      <c r="O36" s="77"/>
      <c r="P36" s="45" t="str">
        <f aca="false">IF($A36="","",ROUND($D36/參數設定!$C$19*(N36+O36*0.5),0))</f>
        <v/>
      </c>
      <c r="Q36" s="45" t="str">
        <f aca="false">IF($A36="","",ROUND(員工清單!J36*參數設定!$C$8*參數設定!$C$9,0))</f>
        <v/>
      </c>
      <c r="R36" s="45" t="str">
        <f aca="false">IF($A36="","",ROUND(員工清單!L36*參數設定!$C$12*參數設定!$C$13,0)*(1+員工清單!O36))</f>
        <v/>
      </c>
      <c r="S36" s="45" t="str">
        <f aca="false">IF($A36="","",ROUND(員工清單!M36*N(員工清單!P36),0))</f>
        <v/>
      </c>
      <c r="T36" s="33"/>
      <c r="U36" s="45" t="str">
        <f aca="false">IF($A36="","",ROUND(MIN(N(L36),MAX(0,N(T36)-員工清單!L36*4))*參數設定!$C$18,0))</f>
        <v/>
      </c>
      <c r="V36" s="33"/>
      <c r="W36" s="33"/>
      <c r="X36" s="48" t="str">
        <f aca="false">IF($A36="","",P36+Q36+R36+S36+U36+V36+W36)</f>
        <v/>
      </c>
      <c r="Y36" s="78" t="str">
        <f aca="false">IF($A36="","",M36-X36)</f>
        <v/>
      </c>
      <c r="Z36" s="45" t="str">
        <f aca="false">IF($A36="","",ROUND(員工清單!J36*參數設定!$C$8*參數設定!$C$10,0))</f>
        <v/>
      </c>
      <c r="AA36" s="45" t="str">
        <f aca="false">IF($A36="","",ROUND(員工清單!K36*參數設定!$C$11,0))</f>
        <v/>
      </c>
      <c r="AB36" s="45" t="str">
        <f aca="false">IF($A36="","",ROUND(員工清單!L36*參數設定!$C$12*參數設定!$C$14*(1+參數設定!$C$15),0))</f>
        <v/>
      </c>
      <c r="AC36" s="45" t="str">
        <f aca="false">IF($A36="","",ROUND(員工清單!M36*參數設定!$C$17,0))</f>
        <v/>
      </c>
      <c r="AD36" s="48" t="str">
        <f aca="false">IF($A36="","",Z36+AA36+AB36+AC36)</f>
        <v/>
      </c>
      <c r="AE36" s="48" t="str">
        <f aca="false">IF($A36="","",M36+AD36)</f>
        <v/>
      </c>
    </row>
    <row r="37" customFormat="false" ht="15" hidden="false" customHeight="true" outlineLevel="0" collapsed="false">
      <c r="A37" s="75" t="str">
        <f aca="false">IF(員工清單!A37="","",員工清單!A37)</f>
        <v/>
      </c>
      <c r="B37" s="75" t="str">
        <f aca="false">IF($A37="","",員工清單!B37)</f>
        <v/>
      </c>
      <c r="C37" s="75" t="str">
        <f aca="false">IF($A37="","",員工清單!C37)</f>
        <v/>
      </c>
      <c r="D37" s="76" t="str">
        <f aca="false">IF($A37="","",員工清單!I37)</f>
        <v/>
      </c>
      <c r="E37" s="77"/>
      <c r="F37" s="77"/>
      <c r="G37" s="77"/>
      <c r="H37" s="77"/>
      <c r="I37" s="77"/>
      <c r="J37" s="45" t="str">
        <f aca="false">IF($A37="","",ROUND($D37/參數設定!$C$19*(E37*4/3+F37*5/3+G37*4/3+H37*5/3+I37),0))</f>
        <v/>
      </c>
      <c r="K37" s="33"/>
      <c r="L37" s="33"/>
      <c r="M37" s="48" t="str">
        <f aca="false">IF($A37="","",ROUND(D37+J37+K37+L37,0))</f>
        <v/>
      </c>
      <c r="N37" s="77"/>
      <c r="O37" s="77"/>
      <c r="P37" s="45" t="str">
        <f aca="false">IF($A37="","",ROUND($D37/參數設定!$C$19*(N37+O37*0.5),0))</f>
        <v/>
      </c>
      <c r="Q37" s="45" t="str">
        <f aca="false">IF($A37="","",ROUND(員工清單!J37*參數設定!$C$8*參數設定!$C$9,0))</f>
        <v/>
      </c>
      <c r="R37" s="45" t="str">
        <f aca="false">IF($A37="","",ROUND(員工清單!L37*參數設定!$C$12*參數設定!$C$13,0)*(1+員工清單!O37))</f>
        <v/>
      </c>
      <c r="S37" s="45" t="str">
        <f aca="false">IF($A37="","",ROUND(員工清單!M37*N(員工清單!P37),0))</f>
        <v/>
      </c>
      <c r="T37" s="33"/>
      <c r="U37" s="45" t="str">
        <f aca="false">IF($A37="","",ROUND(MIN(N(L37),MAX(0,N(T37)-員工清單!L37*4))*參數設定!$C$18,0))</f>
        <v/>
      </c>
      <c r="V37" s="33"/>
      <c r="W37" s="33"/>
      <c r="X37" s="48" t="str">
        <f aca="false">IF($A37="","",P37+Q37+R37+S37+U37+V37+W37)</f>
        <v/>
      </c>
      <c r="Y37" s="78" t="str">
        <f aca="false">IF($A37="","",M37-X37)</f>
        <v/>
      </c>
      <c r="Z37" s="45" t="str">
        <f aca="false">IF($A37="","",ROUND(員工清單!J37*參數設定!$C$8*參數設定!$C$10,0))</f>
        <v/>
      </c>
      <c r="AA37" s="45" t="str">
        <f aca="false">IF($A37="","",ROUND(員工清單!K37*參數設定!$C$11,0))</f>
        <v/>
      </c>
      <c r="AB37" s="45" t="str">
        <f aca="false">IF($A37="","",ROUND(員工清單!L37*參數設定!$C$12*參數設定!$C$14*(1+參數設定!$C$15),0))</f>
        <v/>
      </c>
      <c r="AC37" s="45" t="str">
        <f aca="false">IF($A37="","",ROUND(員工清單!M37*參數設定!$C$17,0))</f>
        <v/>
      </c>
      <c r="AD37" s="48" t="str">
        <f aca="false">IF($A37="","",Z37+AA37+AB37+AC37)</f>
        <v/>
      </c>
      <c r="AE37" s="48" t="str">
        <f aca="false">IF($A37="","",M37+AD37)</f>
        <v/>
      </c>
    </row>
    <row r="38" customFormat="false" ht="15" hidden="false" customHeight="true" outlineLevel="0" collapsed="false">
      <c r="A38" s="75" t="str">
        <f aca="false">IF(員工清單!A38="","",員工清單!A38)</f>
        <v/>
      </c>
      <c r="B38" s="75" t="str">
        <f aca="false">IF($A38="","",員工清單!B38)</f>
        <v/>
      </c>
      <c r="C38" s="75" t="str">
        <f aca="false">IF($A38="","",員工清單!C38)</f>
        <v/>
      </c>
      <c r="D38" s="76" t="str">
        <f aca="false">IF($A38="","",員工清單!I38)</f>
        <v/>
      </c>
      <c r="E38" s="77"/>
      <c r="F38" s="77"/>
      <c r="G38" s="77"/>
      <c r="H38" s="77"/>
      <c r="I38" s="77"/>
      <c r="J38" s="45" t="str">
        <f aca="false">IF($A38="","",ROUND($D38/參數設定!$C$19*(E38*4/3+F38*5/3+G38*4/3+H38*5/3+I38),0))</f>
        <v/>
      </c>
      <c r="K38" s="33"/>
      <c r="L38" s="33"/>
      <c r="M38" s="48" t="str">
        <f aca="false">IF($A38="","",ROUND(D38+J38+K38+L38,0))</f>
        <v/>
      </c>
      <c r="N38" s="77"/>
      <c r="O38" s="77"/>
      <c r="P38" s="45" t="str">
        <f aca="false">IF($A38="","",ROUND($D38/參數設定!$C$19*(N38+O38*0.5),0))</f>
        <v/>
      </c>
      <c r="Q38" s="45" t="str">
        <f aca="false">IF($A38="","",ROUND(員工清單!J38*參數設定!$C$8*參數設定!$C$9,0))</f>
        <v/>
      </c>
      <c r="R38" s="45" t="str">
        <f aca="false">IF($A38="","",ROUND(員工清單!L38*參數設定!$C$12*參數設定!$C$13,0)*(1+員工清單!O38))</f>
        <v/>
      </c>
      <c r="S38" s="45" t="str">
        <f aca="false">IF($A38="","",ROUND(員工清單!M38*N(員工清單!P38),0))</f>
        <v/>
      </c>
      <c r="T38" s="33"/>
      <c r="U38" s="45" t="str">
        <f aca="false">IF($A38="","",ROUND(MIN(N(L38),MAX(0,N(T38)-員工清單!L38*4))*參數設定!$C$18,0))</f>
        <v/>
      </c>
      <c r="V38" s="33"/>
      <c r="W38" s="33"/>
      <c r="X38" s="48" t="str">
        <f aca="false">IF($A38="","",P38+Q38+R38+S38+U38+V38+W38)</f>
        <v/>
      </c>
      <c r="Y38" s="78" t="str">
        <f aca="false">IF($A38="","",M38-X38)</f>
        <v/>
      </c>
      <c r="Z38" s="45" t="str">
        <f aca="false">IF($A38="","",ROUND(員工清單!J38*參數設定!$C$8*參數設定!$C$10,0))</f>
        <v/>
      </c>
      <c r="AA38" s="45" t="str">
        <f aca="false">IF($A38="","",ROUND(員工清單!K38*參數設定!$C$11,0))</f>
        <v/>
      </c>
      <c r="AB38" s="45" t="str">
        <f aca="false">IF($A38="","",ROUND(員工清單!L38*參數設定!$C$12*參數設定!$C$14*(1+參數設定!$C$15),0))</f>
        <v/>
      </c>
      <c r="AC38" s="45" t="str">
        <f aca="false">IF($A38="","",ROUND(員工清單!M38*參數設定!$C$17,0))</f>
        <v/>
      </c>
      <c r="AD38" s="48" t="str">
        <f aca="false">IF($A38="","",Z38+AA38+AB38+AC38)</f>
        <v/>
      </c>
      <c r="AE38" s="48" t="str">
        <f aca="false">IF($A38="","",M38+AD38)</f>
        <v/>
      </c>
    </row>
    <row r="39" customFormat="false" ht="15" hidden="false" customHeight="true" outlineLevel="0" collapsed="false">
      <c r="A39" s="75" t="str">
        <f aca="false">IF(員工清單!A39="","",員工清單!A39)</f>
        <v/>
      </c>
      <c r="B39" s="75" t="str">
        <f aca="false">IF($A39="","",員工清單!B39)</f>
        <v/>
      </c>
      <c r="C39" s="75" t="str">
        <f aca="false">IF($A39="","",員工清單!C39)</f>
        <v/>
      </c>
      <c r="D39" s="76" t="str">
        <f aca="false">IF($A39="","",員工清單!I39)</f>
        <v/>
      </c>
      <c r="E39" s="77"/>
      <c r="F39" s="77"/>
      <c r="G39" s="77"/>
      <c r="H39" s="77"/>
      <c r="I39" s="77"/>
      <c r="J39" s="45" t="str">
        <f aca="false">IF($A39="","",ROUND($D39/參數設定!$C$19*(E39*4/3+F39*5/3+G39*4/3+H39*5/3+I39),0))</f>
        <v/>
      </c>
      <c r="K39" s="33"/>
      <c r="L39" s="33"/>
      <c r="M39" s="48" t="str">
        <f aca="false">IF($A39="","",ROUND(D39+J39+K39+L39,0))</f>
        <v/>
      </c>
      <c r="N39" s="77"/>
      <c r="O39" s="77"/>
      <c r="P39" s="45" t="str">
        <f aca="false">IF($A39="","",ROUND($D39/參數設定!$C$19*(N39+O39*0.5),0))</f>
        <v/>
      </c>
      <c r="Q39" s="45" t="str">
        <f aca="false">IF($A39="","",ROUND(員工清單!J39*參數設定!$C$8*參數設定!$C$9,0))</f>
        <v/>
      </c>
      <c r="R39" s="45" t="str">
        <f aca="false">IF($A39="","",ROUND(員工清單!L39*參數設定!$C$12*參數設定!$C$13,0)*(1+員工清單!O39))</f>
        <v/>
      </c>
      <c r="S39" s="45" t="str">
        <f aca="false">IF($A39="","",ROUND(員工清單!M39*N(員工清單!P39),0))</f>
        <v/>
      </c>
      <c r="T39" s="33"/>
      <c r="U39" s="45" t="str">
        <f aca="false">IF($A39="","",ROUND(MIN(N(L39),MAX(0,N(T39)-員工清單!L39*4))*參數設定!$C$18,0))</f>
        <v/>
      </c>
      <c r="V39" s="33"/>
      <c r="W39" s="33"/>
      <c r="X39" s="48" t="str">
        <f aca="false">IF($A39="","",P39+Q39+R39+S39+U39+V39+W39)</f>
        <v/>
      </c>
      <c r="Y39" s="78" t="str">
        <f aca="false">IF($A39="","",M39-X39)</f>
        <v/>
      </c>
      <c r="Z39" s="45" t="str">
        <f aca="false">IF($A39="","",ROUND(員工清單!J39*參數設定!$C$8*參數設定!$C$10,0))</f>
        <v/>
      </c>
      <c r="AA39" s="45" t="str">
        <f aca="false">IF($A39="","",ROUND(員工清單!K39*參數設定!$C$11,0))</f>
        <v/>
      </c>
      <c r="AB39" s="45" t="str">
        <f aca="false">IF($A39="","",ROUND(員工清單!L39*參數設定!$C$12*參數設定!$C$14*(1+參數設定!$C$15),0))</f>
        <v/>
      </c>
      <c r="AC39" s="45" t="str">
        <f aca="false">IF($A39="","",ROUND(員工清單!M39*參數設定!$C$17,0))</f>
        <v/>
      </c>
      <c r="AD39" s="48" t="str">
        <f aca="false">IF($A39="","",Z39+AA39+AB39+AC39)</f>
        <v/>
      </c>
      <c r="AE39" s="48" t="str">
        <f aca="false">IF($A39="","",M39+AD39)</f>
        <v/>
      </c>
    </row>
    <row r="40" customFormat="false" ht="15" hidden="false" customHeight="true" outlineLevel="0" collapsed="false">
      <c r="A40" s="75" t="str">
        <f aca="false">IF(員工清單!A40="","",員工清單!A40)</f>
        <v/>
      </c>
      <c r="B40" s="75" t="str">
        <f aca="false">IF($A40="","",員工清單!B40)</f>
        <v/>
      </c>
      <c r="C40" s="75" t="str">
        <f aca="false">IF($A40="","",員工清單!C40)</f>
        <v/>
      </c>
      <c r="D40" s="76" t="str">
        <f aca="false">IF($A40="","",員工清單!I40)</f>
        <v/>
      </c>
      <c r="E40" s="77"/>
      <c r="F40" s="77"/>
      <c r="G40" s="77"/>
      <c r="H40" s="77"/>
      <c r="I40" s="77"/>
      <c r="J40" s="45" t="str">
        <f aca="false">IF($A40="","",ROUND($D40/參數設定!$C$19*(E40*4/3+F40*5/3+G40*4/3+H40*5/3+I40),0))</f>
        <v/>
      </c>
      <c r="K40" s="33"/>
      <c r="L40" s="33"/>
      <c r="M40" s="48" t="str">
        <f aca="false">IF($A40="","",ROUND(D40+J40+K40+L40,0))</f>
        <v/>
      </c>
      <c r="N40" s="77"/>
      <c r="O40" s="77"/>
      <c r="P40" s="45" t="str">
        <f aca="false">IF($A40="","",ROUND($D40/參數設定!$C$19*(N40+O40*0.5),0))</f>
        <v/>
      </c>
      <c r="Q40" s="45" t="str">
        <f aca="false">IF($A40="","",ROUND(員工清單!J40*參數設定!$C$8*參數設定!$C$9,0))</f>
        <v/>
      </c>
      <c r="R40" s="45" t="str">
        <f aca="false">IF($A40="","",ROUND(員工清單!L40*參數設定!$C$12*參數設定!$C$13,0)*(1+員工清單!O40))</f>
        <v/>
      </c>
      <c r="S40" s="45" t="str">
        <f aca="false">IF($A40="","",ROUND(員工清單!M40*N(員工清單!P40),0))</f>
        <v/>
      </c>
      <c r="T40" s="33"/>
      <c r="U40" s="45" t="str">
        <f aca="false">IF($A40="","",ROUND(MIN(N(L40),MAX(0,N(T40)-員工清單!L40*4))*參數設定!$C$18,0))</f>
        <v/>
      </c>
      <c r="V40" s="33"/>
      <c r="W40" s="33"/>
      <c r="X40" s="48" t="str">
        <f aca="false">IF($A40="","",P40+Q40+R40+S40+U40+V40+W40)</f>
        <v/>
      </c>
      <c r="Y40" s="78" t="str">
        <f aca="false">IF($A40="","",M40-X40)</f>
        <v/>
      </c>
      <c r="Z40" s="45" t="str">
        <f aca="false">IF($A40="","",ROUND(員工清單!J40*參數設定!$C$8*參數設定!$C$10,0))</f>
        <v/>
      </c>
      <c r="AA40" s="45" t="str">
        <f aca="false">IF($A40="","",ROUND(員工清單!K40*參數設定!$C$11,0))</f>
        <v/>
      </c>
      <c r="AB40" s="45" t="str">
        <f aca="false">IF($A40="","",ROUND(員工清單!L40*參數設定!$C$12*參數設定!$C$14*(1+參數設定!$C$15),0))</f>
        <v/>
      </c>
      <c r="AC40" s="45" t="str">
        <f aca="false">IF($A40="","",ROUND(員工清單!M40*參數設定!$C$17,0))</f>
        <v/>
      </c>
      <c r="AD40" s="48" t="str">
        <f aca="false">IF($A40="","",Z40+AA40+AB40+AC40)</f>
        <v/>
      </c>
      <c r="AE40" s="48" t="str">
        <f aca="false">IF($A40="","",M40+AD40)</f>
        <v/>
      </c>
    </row>
    <row r="41" customFormat="false" ht="15" hidden="false" customHeight="true" outlineLevel="0" collapsed="false">
      <c r="A41" s="75" t="str">
        <f aca="false">IF(員工清單!A41="","",員工清單!A41)</f>
        <v/>
      </c>
      <c r="B41" s="75" t="str">
        <f aca="false">IF($A41="","",員工清單!B41)</f>
        <v/>
      </c>
      <c r="C41" s="75" t="str">
        <f aca="false">IF($A41="","",員工清單!C41)</f>
        <v/>
      </c>
      <c r="D41" s="76" t="str">
        <f aca="false">IF($A41="","",員工清單!I41)</f>
        <v/>
      </c>
      <c r="E41" s="77"/>
      <c r="F41" s="77"/>
      <c r="G41" s="77"/>
      <c r="H41" s="77"/>
      <c r="I41" s="77"/>
      <c r="J41" s="45" t="str">
        <f aca="false">IF($A41="","",ROUND($D41/參數設定!$C$19*(E41*4/3+F41*5/3+G41*4/3+H41*5/3+I41),0))</f>
        <v/>
      </c>
      <c r="K41" s="33"/>
      <c r="L41" s="33"/>
      <c r="M41" s="48" t="str">
        <f aca="false">IF($A41="","",ROUND(D41+J41+K41+L41,0))</f>
        <v/>
      </c>
      <c r="N41" s="77"/>
      <c r="O41" s="77"/>
      <c r="P41" s="45" t="str">
        <f aca="false">IF($A41="","",ROUND($D41/參數設定!$C$19*(N41+O41*0.5),0))</f>
        <v/>
      </c>
      <c r="Q41" s="45" t="str">
        <f aca="false">IF($A41="","",ROUND(員工清單!J41*參數設定!$C$8*參數設定!$C$9,0))</f>
        <v/>
      </c>
      <c r="R41" s="45" t="str">
        <f aca="false">IF($A41="","",ROUND(員工清單!L41*參數設定!$C$12*參數設定!$C$13,0)*(1+員工清單!O41))</f>
        <v/>
      </c>
      <c r="S41" s="45" t="str">
        <f aca="false">IF($A41="","",ROUND(員工清單!M41*N(員工清單!P41),0))</f>
        <v/>
      </c>
      <c r="T41" s="33"/>
      <c r="U41" s="45" t="str">
        <f aca="false">IF($A41="","",ROUND(MIN(N(L41),MAX(0,N(T41)-員工清單!L41*4))*參數設定!$C$18,0))</f>
        <v/>
      </c>
      <c r="V41" s="33"/>
      <c r="W41" s="33"/>
      <c r="X41" s="48" t="str">
        <f aca="false">IF($A41="","",P41+Q41+R41+S41+U41+V41+W41)</f>
        <v/>
      </c>
      <c r="Y41" s="78" t="str">
        <f aca="false">IF($A41="","",M41-X41)</f>
        <v/>
      </c>
      <c r="Z41" s="45" t="str">
        <f aca="false">IF($A41="","",ROUND(員工清單!J41*參數設定!$C$8*參數設定!$C$10,0))</f>
        <v/>
      </c>
      <c r="AA41" s="45" t="str">
        <f aca="false">IF($A41="","",ROUND(員工清單!K41*參數設定!$C$11,0))</f>
        <v/>
      </c>
      <c r="AB41" s="45" t="str">
        <f aca="false">IF($A41="","",ROUND(員工清單!L41*參數設定!$C$12*參數設定!$C$14*(1+參數設定!$C$15),0))</f>
        <v/>
      </c>
      <c r="AC41" s="45" t="str">
        <f aca="false">IF($A41="","",ROUND(員工清單!M41*參數設定!$C$17,0))</f>
        <v/>
      </c>
      <c r="AD41" s="48" t="str">
        <f aca="false">IF($A41="","",Z41+AA41+AB41+AC41)</f>
        <v/>
      </c>
      <c r="AE41" s="48" t="str">
        <f aca="false">IF($A41="","",M41+AD41)</f>
        <v/>
      </c>
    </row>
    <row r="42" customFormat="false" ht="15" hidden="false" customHeight="true" outlineLevel="0" collapsed="false">
      <c r="A42" s="75" t="str">
        <f aca="false">IF(員工清單!A42="","",員工清單!A42)</f>
        <v/>
      </c>
      <c r="B42" s="75" t="str">
        <f aca="false">IF($A42="","",員工清單!B42)</f>
        <v/>
      </c>
      <c r="C42" s="75" t="str">
        <f aca="false">IF($A42="","",員工清單!C42)</f>
        <v/>
      </c>
      <c r="D42" s="76" t="str">
        <f aca="false">IF($A42="","",員工清單!I42)</f>
        <v/>
      </c>
      <c r="E42" s="77"/>
      <c r="F42" s="77"/>
      <c r="G42" s="77"/>
      <c r="H42" s="77"/>
      <c r="I42" s="77"/>
      <c r="J42" s="45" t="str">
        <f aca="false">IF($A42="","",ROUND($D42/參數設定!$C$19*(E42*4/3+F42*5/3+G42*4/3+H42*5/3+I42),0))</f>
        <v/>
      </c>
      <c r="K42" s="33"/>
      <c r="L42" s="33"/>
      <c r="M42" s="48" t="str">
        <f aca="false">IF($A42="","",ROUND(D42+J42+K42+L42,0))</f>
        <v/>
      </c>
      <c r="N42" s="77"/>
      <c r="O42" s="77"/>
      <c r="P42" s="45" t="str">
        <f aca="false">IF($A42="","",ROUND($D42/參數設定!$C$19*(N42+O42*0.5),0))</f>
        <v/>
      </c>
      <c r="Q42" s="45" t="str">
        <f aca="false">IF($A42="","",ROUND(員工清單!J42*參數設定!$C$8*參數設定!$C$9,0))</f>
        <v/>
      </c>
      <c r="R42" s="45" t="str">
        <f aca="false">IF($A42="","",ROUND(員工清單!L42*參數設定!$C$12*參數設定!$C$13,0)*(1+員工清單!O42))</f>
        <v/>
      </c>
      <c r="S42" s="45" t="str">
        <f aca="false">IF($A42="","",ROUND(員工清單!M42*N(員工清單!P42),0))</f>
        <v/>
      </c>
      <c r="T42" s="33"/>
      <c r="U42" s="45" t="str">
        <f aca="false">IF($A42="","",ROUND(MIN(N(L42),MAX(0,N(T42)-員工清單!L42*4))*參數設定!$C$18,0))</f>
        <v/>
      </c>
      <c r="V42" s="33"/>
      <c r="W42" s="33"/>
      <c r="X42" s="48" t="str">
        <f aca="false">IF($A42="","",P42+Q42+R42+S42+U42+V42+W42)</f>
        <v/>
      </c>
      <c r="Y42" s="78" t="str">
        <f aca="false">IF($A42="","",M42-X42)</f>
        <v/>
      </c>
      <c r="Z42" s="45" t="str">
        <f aca="false">IF($A42="","",ROUND(員工清單!J42*參數設定!$C$8*參數設定!$C$10,0))</f>
        <v/>
      </c>
      <c r="AA42" s="45" t="str">
        <f aca="false">IF($A42="","",ROUND(員工清單!K42*參數設定!$C$11,0))</f>
        <v/>
      </c>
      <c r="AB42" s="45" t="str">
        <f aca="false">IF($A42="","",ROUND(員工清單!L42*參數設定!$C$12*參數設定!$C$14*(1+參數設定!$C$15),0))</f>
        <v/>
      </c>
      <c r="AC42" s="45" t="str">
        <f aca="false">IF($A42="","",ROUND(員工清單!M42*參數設定!$C$17,0))</f>
        <v/>
      </c>
      <c r="AD42" s="48" t="str">
        <f aca="false">IF($A42="","",Z42+AA42+AB42+AC42)</f>
        <v/>
      </c>
      <c r="AE42" s="48" t="str">
        <f aca="false">IF($A42="","",M42+AD42)</f>
        <v/>
      </c>
    </row>
    <row r="43" customFormat="false" ht="15" hidden="false" customHeight="true" outlineLevel="0" collapsed="false">
      <c r="A43" s="75" t="str">
        <f aca="false">IF(員工清單!A43="","",員工清單!A43)</f>
        <v/>
      </c>
      <c r="B43" s="75" t="str">
        <f aca="false">IF($A43="","",員工清單!B43)</f>
        <v/>
      </c>
      <c r="C43" s="75" t="str">
        <f aca="false">IF($A43="","",員工清單!C43)</f>
        <v/>
      </c>
      <c r="D43" s="76" t="str">
        <f aca="false">IF($A43="","",員工清單!I43)</f>
        <v/>
      </c>
      <c r="E43" s="77"/>
      <c r="F43" s="77"/>
      <c r="G43" s="77"/>
      <c r="H43" s="77"/>
      <c r="I43" s="77"/>
      <c r="J43" s="45" t="str">
        <f aca="false">IF($A43="","",ROUND($D43/參數設定!$C$19*(E43*4/3+F43*5/3+G43*4/3+H43*5/3+I43),0))</f>
        <v/>
      </c>
      <c r="K43" s="33"/>
      <c r="L43" s="33"/>
      <c r="M43" s="48" t="str">
        <f aca="false">IF($A43="","",ROUND(D43+J43+K43+L43,0))</f>
        <v/>
      </c>
      <c r="N43" s="77"/>
      <c r="O43" s="77"/>
      <c r="P43" s="45" t="str">
        <f aca="false">IF($A43="","",ROUND($D43/參數設定!$C$19*(N43+O43*0.5),0))</f>
        <v/>
      </c>
      <c r="Q43" s="45" t="str">
        <f aca="false">IF($A43="","",ROUND(員工清單!J43*參數設定!$C$8*參數設定!$C$9,0))</f>
        <v/>
      </c>
      <c r="R43" s="45" t="str">
        <f aca="false">IF($A43="","",ROUND(員工清單!L43*參數設定!$C$12*參數設定!$C$13,0)*(1+員工清單!O43))</f>
        <v/>
      </c>
      <c r="S43" s="45" t="str">
        <f aca="false">IF($A43="","",ROUND(員工清單!M43*N(員工清單!P43),0))</f>
        <v/>
      </c>
      <c r="T43" s="33"/>
      <c r="U43" s="45" t="str">
        <f aca="false">IF($A43="","",ROUND(MIN(N(L43),MAX(0,N(T43)-員工清單!L43*4))*參數設定!$C$18,0))</f>
        <v/>
      </c>
      <c r="V43" s="33"/>
      <c r="W43" s="33"/>
      <c r="X43" s="48" t="str">
        <f aca="false">IF($A43="","",P43+Q43+R43+S43+U43+V43+W43)</f>
        <v/>
      </c>
      <c r="Y43" s="78" t="str">
        <f aca="false">IF($A43="","",M43-X43)</f>
        <v/>
      </c>
      <c r="Z43" s="45" t="str">
        <f aca="false">IF($A43="","",ROUND(員工清單!J43*參數設定!$C$8*參數設定!$C$10,0))</f>
        <v/>
      </c>
      <c r="AA43" s="45" t="str">
        <f aca="false">IF($A43="","",ROUND(員工清單!K43*參數設定!$C$11,0))</f>
        <v/>
      </c>
      <c r="AB43" s="45" t="str">
        <f aca="false">IF($A43="","",ROUND(員工清單!L43*參數設定!$C$12*參數設定!$C$14*(1+參數設定!$C$15),0))</f>
        <v/>
      </c>
      <c r="AC43" s="45" t="str">
        <f aca="false">IF($A43="","",ROUND(員工清單!M43*參數設定!$C$17,0))</f>
        <v/>
      </c>
      <c r="AD43" s="48" t="str">
        <f aca="false">IF($A43="","",Z43+AA43+AB43+AC43)</f>
        <v/>
      </c>
      <c r="AE43" s="48" t="str">
        <f aca="false">IF($A43="","",M43+AD43)</f>
        <v/>
      </c>
    </row>
    <row r="44" customFormat="false" ht="15" hidden="false" customHeight="true" outlineLevel="0" collapsed="false">
      <c r="A44" s="75" t="str">
        <f aca="false">IF(員工清單!A44="","",員工清單!A44)</f>
        <v/>
      </c>
      <c r="B44" s="75" t="str">
        <f aca="false">IF($A44="","",員工清單!B44)</f>
        <v/>
      </c>
      <c r="C44" s="75" t="str">
        <f aca="false">IF($A44="","",員工清單!C44)</f>
        <v/>
      </c>
      <c r="D44" s="76" t="str">
        <f aca="false">IF($A44="","",員工清單!I44)</f>
        <v/>
      </c>
      <c r="E44" s="77"/>
      <c r="F44" s="77"/>
      <c r="G44" s="77"/>
      <c r="H44" s="77"/>
      <c r="I44" s="77"/>
      <c r="J44" s="45" t="str">
        <f aca="false">IF($A44="","",ROUND($D44/參數設定!$C$19*(E44*4/3+F44*5/3+G44*4/3+H44*5/3+I44),0))</f>
        <v/>
      </c>
      <c r="K44" s="33"/>
      <c r="L44" s="33"/>
      <c r="M44" s="48" t="str">
        <f aca="false">IF($A44="","",ROUND(D44+J44+K44+L44,0))</f>
        <v/>
      </c>
      <c r="N44" s="77"/>
      <c r="O44" s="77"/>
      <c r="P44" s="45" t="str">
        <f aca="false">IF($A44="","",ROUND($D44/參數設定!$C$19*(N44+O44*0.5),0))</f>
        <v/>
      </c>
      <c r="Q44" s="45" t="str">
        <f aca="false">IF($A44="","",ROUND(員工清單!J44*參數設定!$C$8*參數設定!$C$9,0))</f>
        <v/>
      </c>
      <c r="R44" s="45" t="str">
        <f aca="false">IF($A44="","",ROUND(員工清單!L44*參數設定!$C$12*參數設定!$C$13,0)*(1+員工清單!O44))</f>
        <v/>
      </c>
      <c r="S44" s="45" t="str">
        <f aca="false">IF($A44="","",ROUND(員工清單!M44*N(員工清單!P44),0))</f>
        <v/>
      </c>
      <c r="T44" s="33"/>
      <c r="U44" s="45" t="str">
        <f aca="false">IF($A44="","",ROUND(MIN(N(L44),MAX(0,N(T44)-員工清單!L44*4))*參數設定!$C$18,0))</f>
        <v/>
      </c>
      <c r="V44" s="33"/>
      <c r="W44" s="33"/>
      <c r="X44" s="48" t="str">
        <f aca="false">IF($A44="","",P44+Q44+R44+S44+U44+V44+W44)</f>
        <v/>
      </c>
      <c r="Y44" s="78" t="str">
        <f aca="false">IF($A44="","",M44-X44)</f>
        <v/>
      </c>
      <c r="Z44" s="45" t="str">
        <f aca="false">IF($A44="","",ROUND(員工清單!J44*參數設定!$C$8*參數設定!$C$10,0))</f>
        <v/>
      </c>
      <c r="AA44" s="45" t="str">
        <f aca="false">IF($A44="","",ROUND(員工清單!K44*參數設定!$C$11,0))</f>
        <v/>
      </c>
      <c r="AB44" s="45" t="str">
        <f aca="false">IF($A44="","",ROUND(員工清單!L44*參數設定!$C$12*參數設定!$C$14*(1+參數設定!$C$15),0))</f>
        <v/>
      </c>
      <c r="AC44" s="45" t="str">
        <f aca="false">IF($A44="","",ROUND(員工清單!M44*參數設定!$C$17,0))</f>
        <v/>
      </c>
      <c r="AD44" s="48" t="str">
        <f aca="false">IF($A44="","",Z44+AA44+AB44+AC44)</f>
        <v/>
      </c>
      <c r="AE44" s="48" t="str">
        <f aca="false">IF($A44="","",M44+AD44)</f>
        <v/>
      </c>
    </row>
    <row r="45" customFormat="false" ht="15" hidden="false" customHeight="true" outlineLevel="0" collapsed="false">
      <c r="A45" s="75" t="str">
        <f aca="false">IF(員工清單!A45="","",員工清單!A45)</f>
        <v/>
      </c>
      <c r="B45" s="75" t="str">
        <f aca="false">IF($A45="","",員工清單!B45)</f>
        <v/>
      </c>
      <c r="C45" s="75" t="str">
        <f aca="false">IF($A45="","",員工清單!C45)</f>
        <v/>
      </c>
      <c r="D45" s="76" t="str">
        <f aca="false">IF($A45="","",員工清單!I45)</f>
        <v/>
      </c>
      <c r="E45" s="77"/>
      <c r="F45" s="77"/>
      <c r="G45" s="77"/>
      <c r="H45" s="77"/>
      <c r="I45" s="77"/>
      <c r="J45" s="45" t="str">
        <f aca="false">IF($A45="","",ROUND($D45/參數設定!$C$19*(E45*4/3+F45*5/3+G45*4/3+H45*5/3+I45),0))</f>
        <v/>
      </c>
      <c r="K45" s="33"/>
      <c r="L45" s="33"/>
      <c r="M45" s="48" t="str">
        <f aca="false">IF($A45="","",ROUND(D45+J45+K45+L45,0))</f>
        <v/>
      </c>
      <c r="N45" s="77"/>
      <c r="O45" s="77"/>
      <c r="P45" s="45" t="str">
        <f aca="false">IF($A45="","",ROUND($D45/參數設定!$C$19*(N45+O45*0.5),0))</f>
        <v/>
      </c>
      <c r="Q45" s="45" t="str">
        <f aca="false">IF($A45="","",ROUND(員工清單!J45*參數設定!$C$8*參數設定!$C$9,0))</f>
        <v/>
      </c>
      <c r="R45" s="45" t="str">
        <f aca="false">IF($A45="","",ROUND(員工清單!L45*參數設定!$C$12*參數設定!$C$13,0)*(1+員工清單!O45))</f>
        <v/>
      </c>
      <c r="S45" s="45" t="str">
        <f aca="false">IF($A45="","",ROUND(員工清單!M45*N(員工清單!P45),0))</f>
        <v/>
      </c>
      <c r="T45" s="33"/>
      <c r="U45" s="45" t="str">
        <f aca="false">IF($A45="","",ROUND(MIN(N(L45),MAX(0,N(T45)-員工清單!L45*4))*參數設定!$C$18,0))</f>
        <v/>
      </c>
      <c r="V45" s="33"/>
      <c r="W45" s="33"/>
      <c r="X45" s="48" t="str">
        <f aca="false">IF($A45="","",P45+Q45+R45+S45+U45+V45+W45)</f>
        <v/>
      </c>
      <c r="Y45" s="78" t="str">
        <f aca="false">IF($A45="","",M45-X45)</f>
        <v/>
      </c>
      <c r="Z45" s="45" t="str">
        <f aca="false">IF($A45="","",ROUND(員工清單!J45*參數設定!$C$8*參數設定!$C$10,0))</f>
        <v/>
      </c>
      <c r="AA45" s="45" t="str">
        <f aca="false">IF($A45="","",ROUND(員工清單!K45*參數設定!$C$11,0))</f>
        <v/>
      </c>
      <c r="AB45" s="45" t="str">
        <f aca="false">IF($A45="","",ROUND(員工清單!L45*參數設定!$C$12*參數設定!$C$14*(1+參數設定!$C$15),0))</f>
        <v/>
      </c>
      <c r="AC45" s="45" t="str">
        <f aca="false">IF($A45="","",ROUND(員工清單!M45*參數設定!$C$17,0))</f>
        <v/>
      </c>
      <c r="AD45" s="48" t="str">
        <f aca="false">IF($A45="","",Z45+AA45+AB45+AC45)</f>
        <v/>
      </c>
      <c r="AE45" s="48" t="str">
        <f aca="false">IF($A45="","",M45+AD45)</f>
        <v/>
      </c>
    </row>
    <row r="46" customFormat="false" ht="15" hidden="false" customHeight="true" outlineLevel="0" collapsed="false">
      <c r="A46" s="75" t="str">
        <f aca="false">IF(員工清單!A46="","",員工清單!A46)</f>
        <v/>
      </c>
      <c r="B46" s="75" t="str">
        <f aca="false">IF($A46="","",員工清單!B46)</f>
        <v/>
      </c>
      <c r="C46" s="75" t="str">
        <f aca="false">IF($A46="","",員工清單!C46)</f>
        <v/>
      </c>
      <c r="D46" s="76" t="str">
        <f aca="false">IF($A46="","",員工清單!I46)</f>
        <v/>
      </c>
      <c r="E46" s="77"/>
      <c r="F46" s="77"/>
      <c r="G46" s="77"/>
      <c r="H46" s="77"/>
      <c r="I46" s="77"/>
      <c r="J46" s="45" t="str">
        <f aca="false">IF($A46="","",ROUND($D46/參數設定!$C$19*(E46*4/3+F46*5/3+G46*4/3+H46*5/3+I46),0))</f>
        <v/>
      </c>
      <c r="K46" s="33"/>
      <c r="L46" s="33"/>
      <c r="M46" s="48" t="str">
        <f aca="false">IF($A46="","",ROUND(D46+J46+K46+L46,0))</f>
        <v/>
      </c>
      <c r="N46" s="77"/>
      <c r="O46" s="77"/>
      <c r="P46" s="45" t="str">
        <f aca="false">IF($A46="","",ROUND($D46/參數設定!$C$19*(N46+O46*0.5),0))</f>
        <v/>
      </c>
      <c r="Q46" s="45" t="str">
        <f aca="false">IF($A46="","",ROUND(員工清單!J46*參數設定!$C$8*參數設定!$C$9,0))</f>
        <v/>
      </c>
      <c r="R46" s="45" t="str">
        <f aca="false">IF($A46="","",ROUND(員工清單!L46*參數設定!$C$12*參數設定!$C$13,0)*(1+員工清單!O46))</f>
        <v/>
      </c>
      <c r="S46" s="45" t="str">
        <f aca="false">IF($A46="","",ROUND(員工清單!M46*N(員工清單!P46),0))</f>
        <v/>
      </c>
      <c r="T46" s="33"/>
      <c r="U46" s="45" t="str">
        <f aca="false">IF($A46="","",ROUND(MIN(N(L46),MAX(0,N(T46)-員工清單!L46*4))*參數設定!$C$18,0))</f>
        <v/>
      </c>
      <c r="V46" s="33"/>
      <c r="W46" s="33"/>
      <c r="X46" s="48" t="str">
        <f aca="false">IF($A46="","",P46+Q46+R46+S46+U46+V46+W46)</f>
        <v/>
      </c>
      <c r="Y46" s="78" t="str">
        <f aca="false">IF($A46="","",M46-X46)</f>
        <v/>
      </c>
      <c r="Z46" s="45" t="str">
        <f aca="false">IF($A46="","",ROUND(員工清單!J46*參數設定!$C$8*參數設定!$C$10,0))</f>
        <v/>
      </c>
      <c r="AA46" s="45" t="str">
        <f aca="false">IF($A46="","",ROUND(員工清單!K46*參數設定!$C$11,0))</f>
        <v/>
      </c>
      <c r="AB46" s="45" t="str">
        <f aca="false">IF($A46="","",ROUND(員工清單!L46*參數設定!$C$12*參數設定!$C$14*(1+參數設定!$C$15),0))</f>
        <v/>
      </c>
      <c r="AC46" s="45" t="str">
        <f aca="false">IF($A46="","",ROUND(員工清單!M46*參數設定!$C$17,0))</f>
        <v/>
      </c>
      <c r="AD46" s="48" t="str">
        <f aca="false">IF($A46="","",Z46+AA46+AB46+AC46)</f>
        <v/>
      </c>
      <c r="AE46" s="48" t="str">
        <f aca="false">IF($A46="","",M46+AD46)</f>
        <v/>
      </c>
    </row>
    <row r="47" customFormat="false" ht="15" hidden="false" customHeight="true" outlineLevel="0" collapsed="false">
      <c r="A47" s="75" t="str">
        <f aca="false">IF(員工清單!A47="","",員工清單!A47)</f>
        <v/>
      </c>
      <c r="B47" s="75" t="str">
        <f aca="false">IF($A47="","",員工清單!B47)</f>
        <v/>
      </c>
      <c r="C47" s="75" t="str">
        <f aca="false">IF($A47="","",員工清單!C47)</f>
        <v/>
      </c>
      <c r="D47" s="76" t="str">
        <f aca="false">IF($A47="","",員工清單!I47)</f>
        <v/>
      </c>
      <c r="E47" s="77"/>
      <c r="F47" s="77"/>
      <c r="G47" s="77"/>
      <c r="H47" s="77"/>
      <c r="I47" s="77"/>
      <c r="J47" s="45" t="str">
        <f aca="false">IF($A47="","",ROUND($D47/參數設定!$C$19*(E47*4/3+F47*5/3+G47*4/3+H47*5/3+I47),0))</f>
        <v/>
      </c>
      <c r="K47" s="33"/>
      <c r="L47" s="33"/>
      <c r="M47" s="48" t="str">
        <f aca="false">IF($A47="","",ROUND(D47+J47+K47+L47,0))</f>
        <v/>
      </c>
      <c r="N47" s="77"/>
      <c r="O47" s="77"/>
      <c r="P47" s="45" t="str">
        <f aca="false">IF($A47="","",ROUND($D47/參數設定!$C$19*(N47+O47*0.5),0))</f>
        <v/>
      </c>
      <c r="Q47" s="45" t="str">
        <f aca="false">IF($A47="","",ROUND(員工清單!J47*參數設定!$C$8*參數設定!$C$9,0))</f>
        <v/>
      </c>
      <c r="R47" s="45" t="str">
        <f aca="false">IF($A47="","",ROUND(員工清單!L47*參數設定!$C$12*參數設定!$C$13,0)*(1+員工清單!O47))</f>
        <v/>
      </c>
      <c r="S47" s="45" t="str">
        <f aca="false">IF($A47="","",ROUND(員工清單!M47*N(員工清單!P47),0))</f>
        <v/>
      </c>
      <c r="T47" s="33"/>
      <c r="U47" s="45" t="str">
        <f aca="false">IF($A47="","",ROUND(MIN(N(L47),MAX(0,N(T47)-員工清單!L47*4))*參數設定!$C$18,0))</f>
        <v/>
      </c>
      <c r="V47" s="33"/>
      <c r="W47" s="33"/>
      <c r="X47" s="48" t="str">
        <f aca="false">IF($A47="","",P47+Q47+R47+S47+U47+V47+W47)</f>
        <v/>
      </c>
      <c r="Y47" s="78" t="str">
        <f aca="false">IF($A47="","",M47-X47)</f>
        <v/>
      </c>
      <c r="Z47" s="45" t="str">
        <f aca="false">IF($A47="","",ROUND(員工清單!J47*參數設定!$C$8*參數設定!$C$10,0))</f>
        <v/>
      </c>
      <c r="AA47" s="45" t="str">
        <f aca="false">IF($A47="","",ROUND(員工清單!K47*參數設定!$C$11,0))</f>
        <v/>
      </c>
      <c r="AB47" s="45" t="str">
        <f aca="false">IF($A47="","",ROUND(員工清單!L47*參數設定!$C$12*參數設定!$C$14*(1+參數設定!$C$15),0))</f>
        <v/>
      </c>
      <c r="AC47" s="45" t="str">
        <f aca="false">IF($A47="","",ROUND(員工清單!M47*參數設定!$C$17,0))</f>
        <v/>
      </c>
      <c r="AD47" s="48" t="str">
        <f aca="false">IF($A47="","",Z47+AA47+AB47+AC47)</f>
        <v/>
      </c>
      <c r="AE47" s="48" t="str">
        <f aca="false">IF($A47="","",M47+AD47)</f>
        <v/>
      </c>
    </row>
    <row r="48" customFormat="false" ht="15" hidden="false" customHeight="true" outlineLevel="0" collapsed="false">
      <c r="A48" s="75" t="str">
        <f aca="false">IF(員工清單!A48="","",員工清單!A48)</f>
        <v/>
      </c>
      <c r="B48" s="75" t="str">
        <f aca="false">IF($A48="","",員工清單!B48)</f>
        <v/>
      </c>
      <c r="C48" s="75" t="str">
        <f aca="false">IF($A48="","",員工清單!C48)</f>
        <v/>
      </c>
      <c r="D48" s="76" t="str">
        <f aca="false">IF($A48="","",員工清單!I48)</f>
        <v/>
      </c>
      <c r="E48" s="77"/>
      <c r="F48" s="77"/>
      <c r="G48" s="77"/>
      <c r="H48" s="77"/>
      <c r="I48" s="77"/>
      <c r="J48" s="45" t="str">
        <f aca="false">IF($A48="","",ROUND($D48/參數設定!$C$19*(E48*4/3+F48*5/3+G48*4/3+H48*5/3+I48),0))</f>
        <v/>
      </c>
      <c r="K48" s="33"/>
      <c r="L48" s="33"/>
      <c r="M48" s="48" t="str">
        <f aca="false">IF($A48="","",ROUND(D48+J48+K48+L48,0))</f>
        <v/>
      </c>
      <c r="N48" s="77"/>
      <c r="O48" s="77"/>
      <c r="P48" s="45" t="str">
        <f aca="false">IF($A48="","",ROUND($D48/參數設定!$C$19*(N48+O48*0.5),0))</f>
        <v/>
      </c>
      <c r="Q48" s="45" t="str">
        <f aca="false">IF($A48="","",ROUND(員工清單!J48*參數設定!$C$8*參數設定!$C$9,0))</f>
        <v/>
      </c>
      <c r="R48" s="45" t="str">
        <f aca="false">IF($A48="","",ROUND(員工清單!L48*參數設定!$C$12*參數設定!$C$13,0)*(1+員工清單!O48))</f>
        <v/>
      </c>
      <c r="S48" s="45" t="str">
        <f aca="false">IF($A48="","",ROUND(員工清單!M48*N(員工清單!P48),0))</f>
        <v/>
      </c>
      <c r="T48" s="33"/>
      <c r="U48" s="45" t="str">
        <f aca="false">IF($A48="","",ROUND(MIN(N(L48),MAX(0,N(T48)-員工清單!L48*4))*參數設定!$C$18,0))</f>
        <v/>
      </c>
      <c r="V48" s="33"/>
      <c r="W48" s="33"/>
      <c r="X48" s="48" t="str">
        <f aca="false">IF($A48="","",P48+Q48+R48+S48+U48+V48+W48)</f>
        <v/>
      </c>
      <c r="Y48" s="78" t="str">
        <f aca="false">IF($A48="","",M48-X48)</f>
        <v/>
      </c>
      <c r="Z48" s="45" t="str">
        <f aca="false">IF($A48="","",ROUND(員工清單!J48*參數設定!$C$8*參數設定!$C$10,0))</f>
        <v/>
      </c>
      <c r="AA48" s="45" t="str">
        <f aca="false">IF($A48="","",ROUND(員工清單!K48*參數設定!$C$11,0))</f>
        <v/>
      </c>
      <c r="AB48" s="45" t="str">
        <f aca="false">IF($A48="","",ROUND(員工清單!L48*參數設定!$C$12*參數設定!$C$14*(1+參數設定!$C$15),0))</f>
        <v/>
      </c>
      <c r="AC48" s="45" t="str">
        <f aca="false">IF($A48="","",ROUND(員工清單!M48*參數設定!$C$17,0))</f>
        <v/>
      </c>
      <c r="AD48" s="48" t="str">
        <f aca="false">IF($A48="","",Z48+AA48+AB48+AC48)</f>
        <v/>
      </c>
      <c r="AE48" s="48" t="str">
        <f aca="false">IF($A48="","",M48+AD48)</f>
        <v/>
      </c>
    </row>
    <row r="49" customFormat="false" ht="15" hidden="false" customHeight="true" outlineLevel="0" collapsed="false">
      <c r="A49" s="75" t="str">
        <f aca="false">IF(員工清單!A49="","",員工清單!A49)</f>
        <v/>
      </c>
      <c r="B49" s="75" t="str">
        <f aca="false">IF($A49="","",員工清單!B49)</f>
        <v/>
      </c>
      <c r="C49" s="75" t="str">
        <f aca="false">IF($A49="","",員工清單!C49)</f>
        <v/>
      </c>
      <c r="D49" s="76" t="str">
        <f aca="false">IF($A49="","",員工清單!I49)</f>
        <v/>
      </c>
      <c r="E49" s="77"/>
      <c r="F49" s="77"/>
      <c r="G49" s="77"/>
      <c r="H49" s="77"/>
      <c r="I49" s="77"/>
      <c r="J49" s="45" t="str">
        <f aca="false">IF($A49="","",ROUND($D49/參數設定!$C$19*(E49*4/3+F49*5/3+G49*4/3+H49*5/3+I49),0))</f>
        <v/>
      </c>
      <c r="K49" s="33"/>
      <c r="L49" s="33"/>
      <c r="M49" s="48" t="str">
        <f aca="false">IF($A49="","",ROUND(D49+J49+K49+L49,0))</f>
        <v/>
      </c>
      <c r="N49" s="77"/>
      <c r="O49" s="77"/>
      <c r="P49" s="45" t="str">
        <f aca="false">IF($A49="","",ROUND($D49/參數設定!$C$19*(N49+O49*0.5),0))</f>
        <v/>
      </c>
      <c r="Q49" s="45" t="str">
        <f aca="false">IF($A49="","",ROUND(員工清單!J49*參數設定!$C$8*參數設定!$C$9,0))</f>
        <v/>
      </c>
      <c r="R49" s="45" t="str">
        <f aca="false">IF($A49="","",ROUND(員工清單!L49*參數設定!$C$12*參數設定!$C$13,0)*(1+員工清單!O49))</f>
        <v/>
      </c>
      <c r="S49" s="45" t="str">
        <f aca="false">IF($A49="","",ROUND(員工清單!M49*N(員工清單!P49),0))</f>
        <v/>
      </c>
      <c r="T49" s="33"/>
      <c r="U49" s="45" t="str">
        <f aca="false">IF($A49="","",ROUND(MIN(N(L49),MAX(0,N(T49)-員工清單!L49*4))*參數設定!$C$18,0))</f>
        <v/>
      </c>
      <c r="V49" s="33"/>
      <c r="W49" s="33"/>
      <c r="X49" s="48" t="str">
        <f aca="false">IF($A49="","",P49+Q49+R49+S49+U49+V49+W49)</f>
        <v/>
      </c>
      <c r="Y49" s="78" t="str">
        <f aca="false">IF($A49="","",M49-X49)</f>
        <v/>
      </c>
      <c r="Z49" s="45" t="str">
        <f aca="false">IF($A49="","",ROUND(員工清單!J49*參數設定!$C$8*參數設定!$C$10,0))</f>
        <v/>
      </c>
      <c r="AA49" s="45" t="str">
        <f aca="false">IF($A49="","",ROUND(員工清單!K49*參數設定!$C$11,0))</f>
        <v/>
      </c>
      <c r="AB49" s="45" t="str">
        <f aca="false">IF($A49="","",ROUND(員工清單!L49*參數設定!$C$12*參數設定!$C$14*(1+參數設定!$C$15),0))</f>
        <v/>
      </c>
      <c r="AC49" s="45" t="str">
        <f aca="false">IF($A49="","",ROUND(員工清單!M49*參數設定!$C$17,0))</f>
        <v/>
      </c>
      <c r="AD49" s="48" t="str">
        <f aca="false">IF($A49="","",Z49+AA49+AB49+AC49)</f>
        <v/>
      </c>
      <c r="AE49" s="48" t="str">
        <f aca="false">IF($A49="","",M49+AD49)</f>
        <v/>
      </c>
    </row>
    <row r="50" customFormat="false" ht="15" hidden="false" customHeight="true" outlineLevel="0" collapsed="false">
      <c r="A50" s="75" t="str">
        <f aca="false">IF(員工清單!A50="","",員工清單!A50)</f>
        <v/>
      </c>
      <c r="B50" s="75" t="str">
        <f aca="false">IF($A50="","",員工清單!B50)</f>
        <v/>
      </c>
      <c r="C50" s="75" t="str">
        <f aca="false">IF($A50="","",員工清單!C50)</f>
        <v/>
      </c>
      <c r="D50" s="76" t="str">
        <f aca="false">IF($A50="","",員工清單!I50)</f>
        <v/>
      </c>
      <c r="E50" s="77"/>
      <c r="F50" s="77"/>
      <c r="G50" s="77"/>
      <c r="H50" s="77"/>
      <c r="I50" s="77"/>
      <c r="J50" s="45" t="str">
        <f aca="false">IF($A50="","",ROUND($D50/參數設定!$C$19*(E50*4/3+F50*5/3+G50*4/3+H50*5/3+I50),0))</f>
        <v/>
      </c>
      <c r="K50" s="33"/>
      <c r="L50" s="33"/>
      <c r="M50" s="48" t="str">
        <f aca="false">IF($A50="","",ROUND(D50+J50+K50+L50,0))</f>
        <v/>
      </c>
      <c r="N50" s="77"/>
      <c r="O50" s="77"/>
      <c r="P50" s="45" t="str">
        <f aca="false">IF($A50="","",ROUND($D50/參數設定!$C$19*(N50+O50*0.5),0))</f>
        <v/>
      </c>
      <c r="Q50" s="45" t="str">
        <f aca="false">IF($A50="","",ROUND(員工清單!J50*參數設定!$C$8*參數設定!$C$9,0))</f>
        <v/>
      </c>
      <c r="R50" s="45" t="str">
        <f aca="false">IF($A50="","",ROUND(員工清單!L50*參數設定!$C$12*參數設定!$C$13,0)*(1+員工清單!O50))</f>
        <v/>
      </c>
      <c r="S50" s="45" t="str">
        <f aca="false">IF($A50="","",ROUND(員工清單!M50*N(員工清單!P50),0))</f>
        <v/>
      </c>
      <c r="T50" s="33"/>
      <c r="U50" s="45" t="str">
        <f aca="false">IF($A50="","",ROUND(MIN(N(L50),MAX(0,N(T50)-員工清單!L50*4))*參數設定!$C$18,0))</f>
        <v/>
      </c>
      <c r="V50" s="33"/>
      <c r="W50" s="33"/>
      <c r="X50" s="48" t="str">
        <f aca="false">IF($A50="","",P50+Q50+R50+S50+U50+V50+W50)</f>
        <v/>
      </c>
      <c r="Y50" s="78" t="str">
        <f aca="false">IF($A50="","",M50-X50)</f>
        <v/>
      </c>
      <c r="Z50" s="45" t="str">
        <f aca="false">IF($A50="","",ROUND(員工清單!J50*參數設定!$C$8*參數設定!$C$10,0))</f>
        <v/>
      </c>
      <c r="AA50" s="45" t="str">
        <f aca="false">IF($A50="","",ROUND(員工清單!K50*參數設定!$C$11,0))</f>
        <v/>
      </c>
      <c r="AB50" s="45" t="str">
        <f aca="false">IF($A50="","",ROUND(員工清單!L50*參數設定!$C$12*參數設定!$C$14*(1+參數設定!$C$15),0))</f>
        <v/>
      </c>
      <c r="AC50" s="45" t="str">
        <f aca="false">IF($A50="","",ROUND(員工清單!M50*參數設定!$C$17,0))</f>
        <v/>
      </c>
      <c r="AD50" s="48" t="str">
        <f aca="false">IF($A50="","",Z50+AA50+AB50+AC50)</f>
        <v/>
      </c>
      <c r="AE50" s="48" t="str">
        <f aca="false">IF($A50="","",M50+AD50)</f>
        <v/>
      </c>
    </row>
    <row r="51" customFormat="false" ht="15" hidden="false" customHeight="true" outlineLevel="0" collapsed="false">
      <c r="A51" s="75" t="str">
        <f aca="false">IF(員工清單!A51="","",員工清單!A51)</f>
        <v/>
      </c>
      <c r="B51" s="75" t="str">
        <f aca="false">IF($A51="","",員工清單!B51)</f>
        <v/>
      </c>
      <c r="C51" s="75" t="str">
        <f aca="false">IF($A51="","",員工清單!C51)</f>
        <v/>
      </c>
      <c r="D51" s="76" t="str">
        <f aca="false">IF($A51="","",員工清單!I51)</f>
        <v/>
      </c>
      <c r="E51" s="77"/>
      <c r="F51" s="77"/>
      <c r="G51" s="77"/>
      <c r="H51" s="77"/>
      <c r="I51" s="77"/>
      <c r="J51" s="45" t="str">
        <f aca="false">IF($A51="","",ROUND($D51/參數設定!$C$19*(E51*4/3+F51*5/3+G51*4/3+H51*5/3+I51),0))</f>
        <v/>
      </c>
      <c r="K51" s="33"/>
      <c r="L51" s="33"/>
      <c r="M51" s="48" t="str">
        <f aca="false">IF($A51="","",ROUND(D51+J51+K51+L51,0))</f>
        <v/>
      </c>
      <c r="N51" s="77"/>
      <c r="O51" s="77"/>
      <c r="P51" s="45" t="str">
        <f aca="false">IF($A51="","",ROUND($D51/參數設定!$C$19*(N51+O51*0.5),0))</f>
        <v/>
      </c>
      <c r="Q51" s="45" t="str">
        <f aca="false">IF($A51="","",ROUND(員工清單!J51*參數設定!$C$8*參數設定!$C$9,0))</f>
        <v/>
      </c>
      <c r="R51" s="45" t="str">
        <f aca="false">IF($A51="","",ROUND(員工清單!L51*參數設定!$C$12*參數設定!$C$13,0)*(1+員工清單!O51))</f>
        <v/>
      </c>
      <c r="S51" s="45" t="str">
        <f aca="false">IF($A51="","",ROUND(員工清單!M51*N(員工清單!P51),0))</f>
        <v/>
      </c>
      <c r="T51" s="33"/>
      <c r="U51" s="45" t="str">
        <f aca="false">IF($A51="","",ROUND(MIN(N(L51),MAX(0,N(T51)-員工清單!L51*4))*參數設定!$C$18,0))</f>
        <v/>
      </c>
      <c r="V51" s="33"/>
      <c r="W51" s="33"/>
      <c r="X51" s="48" t="str">
        <f aca="false">IF($A51="","",P51+Q51+R51+S51+U51+V51+W51)</f>
        <v/>
      </c>
      <c r="Y51" s="78" t="str">
        <f aca="false">IF($A51="","",M51-X51)</f>
        <v/>
      </c>
      <c r="Z51" s="45" t="str">
        <f aca="false">IF($A51="","",ROUND(員工清單!J51*參數設定!$C$8*參數設定!$C$10,0))</f>
        <v/>
      </c>
      <c r="AA51" s="45" t="str">
        <f aca="false">IF($A51="","",ROUND(員工清單!K51*參數設定!$C$11,0))</f>
        <v/>
      </c>
      <c r="AB51" s="45" t="str">
        <f aca="false">IF($A51="","",ROUND(員工清單!L51*參數設定!$C$12*參數設定!$C$14*(1+參數設定!$C$15),0))</f>
        <v/>
      </c>
      <c r="AC51" s="45" t="str">
        <f aca="false">IF($A51="","",ROUND(員工清單!M51*參數設定!$C$17,0))</f>
        <v/>
      </c>
      <c r="AD51" s="48" t="str">
        <f aca="false">IF($A51="","",Z51+AA51+AB51+AC51)</f>
        <v/>
      </c>
      <c r="AE51" s="48" t="str">
        <f aca="false">IF($A51="","",M51+AD51)</f>
        <v/>
      </c>
    </row>
    <row r="52" customFormat="false" ht="15" hidden="false" customHeight="true" outlineLevel="0" collapsed="false">
      <c r="A52" s="75" t="str">
        <f aca="false">IF(員工清單!A52="","",員工清單!A52)</f>
        <v/>
      </c>
      <c r="B52" s="75" t="str">
        <f aca="false">IF($A52="","",員工清單!B52)</f>
        <v/>
      </c>
      <c r="C52" s="75" t="str">
        <f aca="false">IF($A52="","",員工清單!C52)</f>
        <v/>
      </c>
      <c r="D52" s="76" t="str">
        <f aca="false">IF($A52="","",員工清單!I52)</f>
        <v/>
      </c>
      <c r="E52" s="77"/>
      <c r="F52" s="77"/>
      <c r="G52" s="77"/>
      <c r="H52" s="77"/>
      <c r="I52" s="77"/>
      <c r="J52" s="45" t="str">
        <f aca="false">IF($A52="","",ROUND($D52/參數設定!$C$19*(E52*4/3+F52*5/3+G52*4/3+H52*5/3+I52),0))</f>
        <v/>
      </c>
      <c r="K52" s="33"/>
      <c r="L52" s="33"/>
      <c r="M52" s="48" t="str">
        <f aca="false">IF($A52="","",ROUND(D52+J52+K52+L52,0))</f>
        <v/>
      </c>
      <c r="N52" s="77"/>
      <c r="O52" s="77"/>
      <c r="P52" s="45" t="str">
        <f aca="false">IF($A52="","",ROUND($D52/參數設定!$C$19*(N52+O52*0.5),0))</f>
        <v/>
      </c>
      <c r="Q52" s="45" t="str">
        <f aca="false">IF($A52="","",ROUND(員工清單!J52*參數設定!$C$8*參數設定!$C$9,0))</f>
        <v/>
      </c>
      <c r="R52" s="45" t="str">
        <f aca="false">IF($A52="","",ROUND(員工清單!L52*參數設定!$C$12*參數設定!$C$13,0)*(1+員工清單!O52))</f>
        <v/>
      </c>
      <c r="S52" s="45" t="str">
        <f aca="false">IF($A52="","",ROUND(員工清單!M52*N(員工清單!P52),0))</f>
        <v/>
      </c>
      <c r="T52" s="33"/>
      <c r="U52" s="45" t="str">
        <f aca="false">IF($A52="","",ROUND(MIN(N(L52),MAX(0,N(T52)-員工清單!L52*4))*參數設定!$C$18,0))</f>
        <v/>
      </c>
      <c r="V52" s="33"/>
      <c r="W52" s="33"/>
      <c r="X52" s="48" t="str">
        <f aca="false">IF($A52="","",P52+Q52+R52+S52+U52+V52+W52)</f>
        <v/>
      </c>
      <c r="Y52" s="78" t="str">
        <f aca="false">IF($A52="","",M52-X52)</f>
        <v/>
      </c>
      <c r="Z52" s="45" t="str">
        <f aca="false">IF($A52="","",ROUND(員工清單!J52*參數設定!$C$8*參數設定!$C$10,0))</f>
        <v/>
      </c>
      <c r="AA52" s="45" t="str">
        <f aca="false">IF($A52="","",ROUND(員工清單!K52*參數設定!$C$11,0))</f>
        <v/>
      </c>
      <c r="AB52" s="45" t="str">
        <f aca="false">IF($A52="","",ROUND(員工清單!L52*參數設定!$C$12*參數設定!$C$14*(1+參數設定!$C$15),0))</f>
        <v/>
      </c>
      <c r="AC52" s="45" t="str">
        <f aca="false">IF($A52="","",ROUND(員工清單!M52*參數設定!$C$17,0))</f>
        <v/>
      </c>
      <c r="AD52" s="48" t="str">
        <f aca="false">IF($A52="","",Z52+AA52+AB52+AC52)</f>
        <v/>
      </c>
      <c r="AE52" s="48" t="str">
        <f aca="false">IF($A52="","",M52+AD52)</f>
        <v/>
      </c>
    </row>
    <row r="53" customFormat="false" ht="15" hidden="false" customHeight="true" outlineLevel="0" collapsed="false">
      <c r="A53" s="75" t="str">
        <f aca="false">IF(員工清單!A53="","",員工清單!A53)</f>
        <v/>
      </c>
      <c r="B53" s="75" t="str">
        <f aca="false">IF($A53="","",員工清單!B53)</f>
        <v/>
      </c>
      <c r="C53" s="75" t="str">
        <f aca="false">IF($A53="","",員工清單!C53)</f>
        <v/>
      </c>
      <c r="D53" s="76" t="str">
        <f aca="false">IF($A53="","",員工清單!I53)</f>
        <v/>
      </c>
      <c r="E53" s="77"/>
      <c r="F53" s="77"/>
      <c r="G53" s="77"/>
      <c r="H53" s="77"/>
      <c r="I53" s="77"/>
      <c r="J53" s="45" t="str">
        <f aca="false">IF($A53="","",ROUND($D53/參數設定!$C$19*(E53*4/3+F53*5/3+G53*4/3+H53*5/3+I53),0))</f>
        <v/>
      </c>
      <c r="K53" s="33"/>
      <c r="L53" s="33"/>
      <c r="M53" s="48" t="str">
        <f aca="false">IF($A53="","",ROUND(D53+J53+K53+L53,0))</f>
        <v/>
      </c>
      <c r="N53" s="77"/>
      <c r="O53" s="77"/>
      <c r="P53" s="45" t="str">
        <f aca="false">IF($A53="","",ROUND($D53/參數設定!$C$19*(N53+O53*0.5),0))</f>
        <v/>
      </c>
      <c r="Q53" s="45" t="str">
        <f aca="false">IF($A53="","",ROUND(員工清單!J53*參數設定!$C$8*參數設定!$C$9,0))</f>
        <v/>
      </c>
      <c r="R53" s="45" t="str">
        <f aca="false">IF($A53="","",ROUND(員工清單!L53*參數設定!$C$12*參數設定!$C$13,0)*(1+員工清單!O53))</f>
        <v/>
      </c>
      <c r="S53" s="45" t="str">
        <f aca="false">IF($A53="","",ROUND(員工清單!M53*N(員工清單!P53),0))</f>
        <v/>
      </c>
      <c r="T53" s="33"/>
      <c r="U53" s="45" t="str">
        <f aca="false">IF($A53="","",ROUND(MIN(N(L53),MAX(0,N(T53)-員工清單!L53*4))*參數設定!$C$18,0))</f>
        <v/>
      </c>
      <c r="V53" s="33"/>
      <c r="W53" s="33"/>
      <c r="X53" s="48" t="str">
        <f aca="false">IF($A53="","",P53+Q53+R53+S53+U53+V53+W53)</f>
        <v/>
      </c>
      <c r="Y53" s="78" t="str">
        <f aca="false">IF($A53="","",M53-X53)</f>
        <v/>
      </c>
      <c r="Z53" s="45" t="str">
        <f aca="false">IF($A53="","",ROUND(員工清單!J53*參數設定!$C$8*參數設定!$C$10,0))</f>
        <v/>
      </c>
      <c r="AA53" s="45" t="str">
        <f aca="false">IF($A53="","",ROUND(員工清單!K53*參數設定!$C$11,0))</f>
        <v/>
      </c>
      <c r="AB53" s="45" t="str">
        <f aca="false">IF($A53="","",ROUND(員工清單!L53*參數設定!$C$12*參數設定!$C$14*(1+參數設定!$C$15),0))</f>
        <v/>
      </c>
      <c r="AC53" s="45" t="str">
        <f aca="false">IF($A53="","",ROUND(員工清單!M53*參數設定!$C$17,0))</f>
        <v/>
      </c>
      <c r="AD53" s="48" t="str">
        <f aca="false">IF($A53="","",Z53+AA53+AB53+AC53)</f>
        <v/>
      </c>
      <c r="AE53" s="48" t="str">
        <f aca="false">IF($A53="","",M53+AD53)</f>
        <v/>
      </c>
    </row>
    <row r="54" customFormat="false" ht="15" hidden="false" customHeight="true" outlineLevel="0" collapsed="false">
      <c r="A54" s="79"/>
      <c r="B54" s="72" t="s">
        <v>591</v>
      </c>
      <c r="C54" s="79"/>
      <c r="D54" s="80" t="n">
        <f aca="false">SUM(D4:D53)</f>
        <v>528500</v>
      </c>
      <c r="E54" s="81" t="n">
        <f aca="false">SUM(E4:E53)</f>
        <v>16</v>
      </c>
      <c r="F54" s="81" t="n">
        <f aca="false">SUM(F4:F53)</f>
        <v>2</v>
      </c>
      <c r="G54" s="81" t="n">
        <f aca="false">SUM(G4:G53)</f>
        <v>4</v>
      </c>
      <c r="H54" s="81" t="n">
        <f aca="false">SUM(H4:H53)</f>
        <v>0</v>
      </c>
      <c r="I54" s="81" t="n">
        <f aca="false">SUM(I4:I53)</f>
        <v>0</v>
      </c>
      <c r="J54" s="80" t="n">
        <f aca="false">SUM(J4:J53)</f>
        <v>7917</v>
      </c>
      <c r="K54" s="80" t="n">
        <f aca="false">SUM(K4:K53)</f>
        <v>0</v>
      </c>
      <c r="L54" s="80" t="n">
        <f aca="false">SUM(L4:L53)</f>
        <v>150000</v>
      </c>
      <c r="M54" s="80" t="n">
        <f aca="false">SUM(M4:M53)</f>
        <v>686417</v>
      </c>
      <c r="N54" s="81" t="n">
        <f aca="false">SUM(N4:N53)</f>
        <v>12</v>
      </c>
      <c r="O54" s="81" t="n">
        <f aca="false">SUM(O4:O53)</f>
        <v>16</v>
      </c>
      <c r="P54" s="80" t="n">
        <f aca="false">SUM(P4:P53)</f>
        <v>2667</v>
      </c>
      <c r="Q54" s="80" t="n">
        <f aca="false">SUM(Q4:Q53)</f>
        <v>8109</v>
      </c>
      <c r="R54" s="80" t="n">
        <f aca="false">SUM(R4:R53)</f>
        <v>19737</v>
      </c>
      <c r="S54" s="80" t="n">
        <f aca="false">SUM(S4:S53)</f>
        <v>20448</v>
      </c>
      <c r="T54" s="80" t="n">
        <f aca="false">SUM(T4:T53)</f>
        <v>750000</v>
      </c>
      <c r="U54" s="80" t="n">
        <f aca="false">SUM(U4:U53)</f>
        <v>1030</v>
      </c>
      <c r="V54" s="80" t="n">
        <f aca="false">SUM(V4:V53)</f>
        <v>12000</v>
      </c>
      <c r="W54" s="80" t="n">
        <f aca="false">SUM(W4:W53)</f>
        <v>0</v>
      </c>
      <c r="X54" s="80" t="n">
        <f aca="false">SUM(X4:X53)</f>
        <v>63991</v>
      </c>
      <c r="Y54" s="80" t="n">
        <f aca="false">SUM(Y4:Y53)</f>
        <v>622426</v>
      </c>
      <c r="Z54" s="80" t="n">
        <f aca="false">SUM(Z4:Z53)</f>
        <v>28374</v>
      </c>
      <c r="AA54" s="80" t="n">
        <f aca="false">SUM(AA4:AA53)</f>
        <v>895</v>
      </c>
      <c r="AB54" s="80" t="n">
        <f aca="false">SUM(AB4:AB53)</f>
        <v>26059</v>
      </c>
      <c r="AC54" s="80" t="n">
        <f aca="false">SUM(AC4:AC53)</f>
        <v>31542</v>
      </c>
      <c r="AD54" s="80" t="n">
        <f aca="false">SUM(AD4:AD53)</f>
        <v>86870</v>
      </c>
      <c r="AE54" s="80" t="n">
        <f aca="false">SUM(AE4:AE53)</f>
        <v>773287</v>
      </c>
    </row>
    <row r="56" customFormat="false" ht="29.25" hidden="false" customHeight="true" outlineLevel="0" collapsed="false">
      <c r="B56" s="82" t="s">
        <v>592</v>
      </c>
      <c r="C56" s="82"/>
      <c r="D56" s="82"/>
      <c r="E56" s="83" t="n">
        <f aca="false">ROUND(MAX(0,SUM(M4:M53)-SUM(員工清單!L4:L53))*參數設定!$C$18,0)</f>
        <v>3121</v>
      </c>
    </row>
    <row r="57" customFormat="false" ht="15" hidden="false" customHeight="true" outlineLevel="0" collapsed="false">
      <c r="B57" s="47" t="s">
        <v>593</v>
      </c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</row>
    <row r="58" customFormat="false" ht="15" hidden="false" customHeight="true" outlineLevel="0" collapsed="false">
      <c r="B58" s="47" t="s">
        <v>594</v>
      </c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</row>
  </sheetData>
  <mergeCells count="7">
    <mergeCell ref="A2:D2"/>
    <mergeCell ref="E2:M2"/>
    <mergeCell ref="N2:Y2"/>
    <mergeCell ref="Z2:AE2"/>
    <mergeCell ref="B56:D56"/>
    <mergeCell ref="B57:R57"/>
    <mergeCell ref="B58:R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8" min="6" style="1" width="13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13"/>
  </cols>
  <sheetData>
    <row r="1" customFormat="false" ht="25.5" hidden="false" customHeight="true" outlineLevel="0" collapsed="false">
      <c r="A1" s="12" t="s">
        <v>595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26.25" hidden="false" customHeight="true" outlineLevel="0" collapsed="false">
      <c r="A2" s="5" t="s">
        <v>596</v>
      </c>
      <c r="B2" s="84" t="s">
        <v>597</v>
      </c>
      <c r="D2" s="5" t="s">
        <v>598</v>
      </c>
      <c r="E2" s="85" t="n">
        <v>46048</v>
      </c>
      <c r="F2" s="13" t="s">
        <v>599</v>
      </c>
      <c r="G2" s="13"/>
      <c r="H2" s="13"/>
      <c r="I2" s="13"/>
      <c r="J2" s="13"/>
      <c r="K2" s="13"/>
    </row>
    <row r="3" customFormat="false" ht="31.5" hidden="false" customHeight="true" outlineLevel="0" collapsed="false">
      <c r="A3" s="17" t="s">
        <v>59</v>
      </c>
      <c r="B3" s="17" t="s">
        <v>63</v>
      </c>
      <c r="C3" s="17" t="s">
        <v>94</v>
      </c>
      <c r="D3" s="17" t="s">
        <v>600</v>
      </c>
      <c r="E3" s="86" t="s">
        <v>601</v>
      </c>
      <c r="F3" s="86" t="s">
        <v>602</v>
      </c>
      <c r="G3" s="17" t="s">
        <v>603</v>
      </c>
      <c r="H3" s="17" t="s">
        <v>604</v>
      </c>
      <c r="I3" s="17" t="s">
        <v>605</v>
      </c>
      <c r="J3" s="17" t="s">
        <v>208</v>
      </c>
      <c r="K3" s="17" t="s">
        <v>216</v>
      </c>
    </row>
    <row r="4" customFormat="false" ht="15" hidden="false" customHeight="true" outlineLevel="0" collapsed="false">
      <c r="A4" s="66" t="str">
        <f aca="false">IF(員工清單!A4="","",員工清單!A4)</f>
        <v>E001</v>
      </c>
      <c r="B4" s="66" t="str">
        <f aca="false">IF($A4="","",員工清單!B4)</f>
        <v>王小明</v>
      </c>
      <c r="C4" s="45" t="n">
        <f aca="false">IF($A4="","",員工清單!L4)</f>
        <v>66800</v>
      </c>
      <c r="D4" s="45" t="n">
        <f aca="false">IF($A4="","",$C4*4)</f>
        <v>267200</v>
      </c>
      <c r="E4" s="33" t="n">
        <v>0</v>
      </c>
      <c r="F4" s="33" t="n">
        <v>130000</v>
      </c>
      <c r="G4" s="45" t="n">
        <f aca="false">IF($A4="","",N($E4)+N($F4))</f>
        <v>130000</v>
      </c>
      <c r="H4" s="45" t="n">
        <f aca="false">IF($A4="","",MAX(0,$G4-$D4)-MAX(0,N($E4)-$D4))</f>
        <v>0</v>
      </c>
      <c r="I4" s="45" t="n">
        <f aca="false">IF($A4="","",ROUND($H4*參數設定!$C$18,0))</f>
        <v>0</v>
      </c>
      <c r="J4" s="45" t="n">
        <f aca="false">IF($A4="","",IF(IF(員工清單!T4="","居住者",員工清單!T4)="非居住者","併當月薪資依6%/18%",IF(N($F4)&gt;=參數設定!$C$21,ROUND($F4*參數設定!$C$23,0),0)))</f>
        <v>6500</v>
      </c>
      <c r="K4" s="45" t="n">
        <f aca="false">IF($A4="","",IF(ISNUMBER($J4),N($F4)-$I4-$J4,"—"))</f>
        <v>123500</v>
      </c>
    </row>
    <row r="5" customFormat="false" ht="15" hidden="false" customHeight="true" outlineLevel="0" collapsed="false">
      <c r="A5" s="66" t="str">
        <f aca="false">IF(員工清單!A5="","",員工清單!A5)</f>
        <v>E002</v>
      </c>
      <c r="B5" s="66" t="str">
        <f aca="false">IF($A5="","",員工清單!B5)</f>
        <v>李美華</v>
      </c>
      <c r="C5" s="45" t="n">
        <f aca="false">IF($A5="","",員工清單!L5)</f>
        <v>36300</v>
      </c>
      <c r="D5" s="45" t="n">
        <f aca="false">IF($A5="","",$C5*4)</f>
        <v>145200</v>
      </c>
      <c r="E5" s="33" t="n">
        <v>0</v>
      </c>
      <c r="F5" s="33" t="n">
        <v>160000</v>
      </c>
      <c r="G5" s="45" t="n">
        <f aca="false">IF($A5="","",N($E5)+N($F5))</f>
        <v>160000</v>
      </c>
      <c r="H5" s="45" t="n">
        <f aca="false">IF($A5="","",MAX(0,$G5-$D5)-MAX(0,N($E5)-$D5))</f>
        <v>14800</v>
      </c>
      <c r="I5" s="45" t="n">
        <f aca="false">IF($A5="","",ROUND($H5*參數設定!$C$18,0))</f>
        <v>312</v>
      </c>
      <c r="J5" s="45" t="n">
        <f aca="false">IF($A5="","",IF(IF(員工清單!T5="","居住者",員工清單!T5)="非居住者","併當月薪資依6%/18%",IF(N($F5)&gt;=參數設定!$C$21,ROUND($F5*參數設定!$C$23,0),0)))</f>
        <v>8000</v>
      </c>
      <c r="K5" s="45" t="n">
        <f aca="false">IF($A5="","",IF(ISNUMBER($J5),N($F5)-$I5-$J5,"—"))</f>
        <v>151688</v>
      </c>
    </row>
    <row r="6" customFormat="false" ht="15" hidden="false" customHeight="true" outlineLevel="0" collapsed="false">
      <c r="A6" s="66" t="str">
        <f aca="false">IF(員工清單!A6="","",員工清單!A6)</f>
        <v>E003</v>
      </c>
      <c r="B6" s="66" t="str">
        <f aca="false">IF($A6="","",員工清單!B6)</f>
        <v>張志豪</v>
      </c>
      <c r="C6" s="45" t="n">
        <f aca="false">IF($A6="","",員工清單!L6)</f>
        <v>87600</v>
      </c>
      <c r="D6" s="45" t="n">
        <f aca="false">IF($A6="","",$C6*4)</f>
        <v>350400</v>
      </c>
      <c r="E6" s="33" t="n">
        <v>0</v>
      </c>
      <c r="F6" s="33" t="n">
        <v>170000</v>
      </c>
      <c r="G6" s="45" t="n">
        <f aca="false">IF($A6="","",N($E6)+N($F6))</f>
        <v>170000</v>
      </c>
      <c r="H6" s="45" t="n">
        <f aca="false">IF($A6="","",MAX(0,$G6-$D6)-MAX(0,N($E6)-$D6))</f>
        <v>0</v>
      </c>
      <c r="I6" s="45" t="n">
        <f aca="false">IF($A6="","",ROUND($H6*參數設定!$C$18,0))</f>
        <v>0</v>
      </c>
      <c r="J6" s="45" t="n">
        <f aca="false">IF($A6="","",IF(IF(員工清單!T6="","居住者",員工清單!T6)="非居住者","併當月薪資依6%/18%",IF(N($F6)&gt;=參數設定!$C$21,ROUND($F6*參數設定!$C$23,0),0)))</f>
        <v>8500</v>
      </c>
      <c r="K6" s="45" t="n">
        <f aca="false">IF($A6="","",IF(ISNUMBER($J6),N($F6)-$I6-$J6,"—"))</f>
        <v>161500</v>
      </c>
    </row>
    <row r="7" customFormat="false" ht="15" hidden="false" customHeight="true" outlineLevel="0" collapsed="false">
      <c r="A7" s="66" t="str">
        <f aca="false">IF(員工清單!A7="","",員工清單!A7)</f>
        <v>E004</v>
      </c>
      <c r="B7" s="66" t="str">
        <f aca="false">IF($A7="","",員工清單!B7)</f>
        <v>陳雅婷</v>
      </c>
      <c r="C7" s="45" t="n">
        <f aca="false">IF($A7="","",員工清單!L7)</f>
        <v>42000</v>
      </c>
      <c r="D7" s="45" t="n">
        <f aca="false">IF($A7="","",$C7*4)</f>
        <v>168000</v>
      </c>
      <c r="E7" s="33" t="n">
        <v>0</v>
      </c>
      <c r="F7" s="33" t="n">
        <v>84000</v>
      </c>
      <c r="G7" s="45" t="n">
        <f aca="false">IF($A7="","",N($E7)+N($F7))</f>
        <v>84000</v>
      </c>
      <c r="H7" s="45" t="n">
        <f aca="false">IF($A7="","",MAX(0,$G7-$D7)-MAX(0,N($E7)-$D7))</f>
        <v>0</v>
      </c>
      <c r="I7" s="45" t="n">
        <f aca="false">IF($A7="","",ROUND($H7*參數設定!$C$18,0))</f>
        <v>0</v>
      </c>
      <c r="J7" s="45" t="n">
        <f aca="false">IF($A7="","",IF(IF(員工清單!T7="","居住者",員工清單!T7)="非居住者","併當月薪資依6%/18%",IF(N($F7)&gt;=參數設定!$C$21,ROUND($F7*參數設定!$C$23,0),0)))</f>
        <v>0</v>
      </c>
      <c r="K7" s="45" t="n">
        <f aca="false">IF($A7="","",IF(ISNUMBER($J7),N($F7)-$I7-$J7,"—"))</f>
        <v>84000</v>
      </c>
    </row>
    <row r="8" customFormat="false" ht="15" hidden="false" customHeight="true" outlineLevel="0" collapsed="false">
      <c r="A8" s="66" t="str">
        <f aca="false">IF(員工清單!A8="","",員工清單!A8)</f>
        <v>E005</v>
      </c>
      <c r="B8" s="66" t="str">
        <f aca="false">IF($A8="","",員工清單!B8)</f>
        <v>林承翰</v>
      </c>
      <c r="C8" s="45" t="n">
        <f aca="false">IF($A8="","",員工清單!L8)</f>
        <v>80200</v>
      </c>
      <c r="D8" s="45" t="n">
        <f aca="false">IF($A8="","",$C8*4)</f>
        <v>320800</v>
      </c>
      <c r="E8" s="33" t="n">
        <v>0</v>
      </c>
      <c r="F8" s="33" t="n">
        <v>156000</v>
      </c>
      <c r="G8" s="45" t="n">
        <f aca="false">IF($A8="","",N($E8)+N($F8))</f>
        <v>156000</v>
      </c>
      <c r="H8" s="45" t="n">
        <f aca="false">IF($A8="","",MAX(0,$G8-$D8)-MAX(0,N($E8)-$D8))</f>
        <v>0</v>
      </c>
      <c r="I8" s="45" t="n">
        <f aca="false">IF($A8="","",ROUND($H8*參數設定!$C$18,0))</f>
        <v>0</v>
      </c>
      <c r="J8" s="45" t="n">
        <f aca="false">IF($A8="","",IF(IF(員工清單!T8="","居住者",員工清單!T8)="非居住者","併當月薪資依6%/18%",IF(N($F8)&gt;=參數設定!$C$21,ROUND($F8*參數設定!$C$23,0),0)))</f>
        <v>7800</v>
      </c>
      <c r="K8" s="45" t="n">
        <f aca="false">IF($A8="","",IF(ISNUMBER($J8),N($F8)-$I8-$J8,"—"))</f>
        <v>148200</v>
      </c>
    </row>
    <row r="9" customFormat="false" ht="15" hidden="false" customHeight="true" outlineLevel="0" collapsed="false">
      <c r="A9" s="66" t="str">
        <f aca="false">IF(員工清單!A9="","",員工清單!A9)</f>
        <v>E006</v>
      </c>
      <c r="B9" s="66" t="str">
        <f aca="false">IF($A9="","",員工清單!B9)</f>
        <v>黃詩涵</v>
      </c>
      <c r="C9" s="45" t="n">
        <f aca="false">IF($A9="","",員工清單!L9)</f>
        <v>33300</v>
      </c>
      <c r="D9" s="45" t="n">
        <f aca="false">IF($A9="","",$C9*4)</f>
        <v>133200</v>
      </c>
      <c r="E9" s="33" t="n">
        <v>0</v>
      </c>
      <c r="F9" s="33" t="n">
        <v>66000</v>
      </c>
      <c r="G9" s="45" t="n">
        <f aca="false">IF($A9="","",N($E9)+N($F9))</f>
        <v>66000</v>
      </c>
      <c r="H9" s="45" t="n">
        <f aca="false">IF($A9="","",MAX(0,$G9-$D9)-MAX(0,N($E9)-$D9))</f>
        <v>0</v>
      </c>
      <c r="I9" s="45" t="n">
        <f aca="false">IF($A9="","",ROUND($H9*參數設定!$C$18,0))</f>
        <v>0</v>
      </c>
      <c r="J9" s="45" t="str">
        <f aca="false">IF($A9="","",IF(IF(員工清單!T9="","居住者",員工清單!T9)="非居住者","併當月薪資依6%/18%",IF(N($F9)&gt;=參數設定!$C$21,ROUND($F9*參數設定!$C$23,0),0)))</f>
        <v>併當月薪資依6%/18%</v>
      </c>
      <c r="K9" s="45" t="str">
        <f aca="false">IF($A9="","",IF(ISNUMBER($J9),N($F9)-$I9-$J9,"—"))</f>
        <v>—</v>
      </c>
    </row>
    <row r="10" customFormat="false" ht="15" hidden="false" customHeight="true" outlineLevel="0" collapsed="false">
      <c r="A10" s="66" t="str">
        <f aca="false">IF(員工清單!A10="","",員工清單!A10)</f>
        <v>E007</v>
      </c>
      <c r="B10" s="66" t="str">
        <f aca="false">IF($A10="","",員工清單!B10)</f>
        <v>吳建宏</v>
      </c>
      <c r="C10" s="45" t="n">
        <f aca="false">IF($A10="","",員工清單!L10)</f>
        <v>29500</v>
      </c>
      <c r="D10" s="45" t="n">
        <f aca="false">IF($A10="","",$C10*4)</f>
        <v>118000</v>
      </c>
      <c r="E10" s="33" t="n">
        <v>0</v>
      </c>
      <c r="F10" s="33" t="n">
        <v>59000</v>
      </c>
      <c r="G10" s="45" t="n">
        <f aca="false">IF($A10="","",N($E10)+N($F10))</f>
        <v>59000</v>
      </c>
      <c r="H10" s="45" t="n">
        <f aca="false">IF($A10="","",MAX(0,$G10-$D10)-MAX(0,N($E10)-$D10))</f>
        <v>0</v>
      </c>
      <c r="I10" s="45" t="n">
        <f aca="false">IF($A10="","",ROUND($H10*參數設定!$C$18,0))</f>
        <v>0</v>
      </c>
      <c r="J10" s="45" t="n">
        <f aca="false">IF($A10="","",IF(IF(員工清單!T10="","居住者",員工清單!T10)="非居住者","併當月薪資依6%/18%",IF(N($F10)&gt;=參數設定!$C$21,ROUND($F10*參數設定!$C$23,0),0)))</f>
        <v>0</v>
      </c>
      <c r="K10" s="45" t="n">
        <f aca="false">IF($A10="","",IF(ISNUMBER($J10),N($F10)-$I10-$J10,"—"))</f>
        <v>59000</v>
      </c>
    </row>
    <row r="11" customFormat="false" ht="15" hidden="false" customHeight="true" outlineLevel="0" collapsed="false">
      <c r="A11" s="66" t="str">
        <f aca="false">IF(員工清單!A11="","",員工清單!A11)</f>
        <v>E008</v>
      </c>
      <c r="B11" s="66" t="str">
        <f aca="false">IF($A11="","",員工清單!B11)</f>
        <v>蔡佩珊</v>
      </c>
      <c r="C11" s="45" t="n">
        <f aca="false">IF($A11="","",員工清單!L11)</f>
        <v>162800</v>
      </c>
      <c r="D11" s="45" t="n">
        <f aca="false">IF($A11="","",$C11*4)</f>
        <v>651200</v>
      </c>
      <c r="E11" s="33" t="n">
        <v>0</v>
      </c>
      <c r="F11" s="33" t="n">
        <v>320000</v>
      </c>
      <c r="G11" s="45" t="n">
        <f aca="false">IF($A11="","",N($E11)+N($F11))</f>
        <v>320000</v>
      </c>
      <c r="H11" s="45" t="n">
        <f aca="false">IF($A11="","",MAX(0,$G11-$D11)-MAX(0,N($E11)-$D11))</f>
        <v>0</v>
      </c>
      <c r="I11" s="45" t="n">
        <f aca="false">IF($A11="","",ROUND($H11*參數設定!$C$18,0))</f>
        <v>0</v>
      </c>
      <c r="J11" s="45" t="n">
        <f aca="false">IF($A11="","",IF(IF(員工清單!T11="","居住者",員工清單!T11)="非居住者","併當月薪資依6%/18%",IF(N($F11)&gt;=參數設定!$C$21,ROUND($F11*參數設定!$C$23,0),0)))</f>
        <v>16000</v>
      </c>
      <c r="K11" s="45" t="n">
        <f aca="false">IF($A11="","",IF(ISNUMBER($J11),N($F11)-$I11-$J11,"—"))</f>
        <v>304000</v>
      </c>
    </row>
    <row r="12" customFormat="false" ht="15" hidden="false" customHeight="true" outlineLevel="0" collapsed="false">
      <c r="A12" s="66" t="str">
        <f aca="false">IF(員工清單!A12="","",員工清單!A12)</f>
        <v/>
      </c>
      <c r="B12" s="66" t="str">
        <f aca="false">IF($A12="","",員工清單!B12)</f>
        <v/>
      </c>
      <c r="C12" s="45" t="str">
        <f aca="false">IF($A12="","",員工清單!L12)</f>
        <v/>
      </c>
      <c r="D12" s="45" t="str">
        <f aca="false">IF($A12="","",$C12*4)</f>
        <v/>
      </c>
      <c r="E12" s="33"/>
      <c r="F12" s="33"/>
      <c r="G12" s="45" t="str">
        <f aca="false">IF($A12="","",N($E12)+N($F12))</f>
        <v/>
      </c>
      <c r="H12" s="45" t="str">
        <f aca="false">IF($A12="","",MAX(0,$G12-$D12)-MAX(0,N($E12)-$D12))</f>
        <v/>
      </c>
      <c r="I12" s="45" t="str">
        <f aca="false">IF($A12="","",ROUND($H12*參數設定!$C$18,0))</f>
        <v/>
      </c>
      <c r="J12" s="45" t="str">
        <f aca="false">IF($A12="","",IF(IF(員工清單!T12="","居住者",員工清單!T12)="非居住者","併當月薪資依6%/18%",IF(N($F12)&gt;=參數設定!$C$21,ROUND($F12*參數設定!$C$23,0),0)))</f>
        <v/>
      </c>
      <c r="K12" s="45" t="str">
        <f aca="false">IF($A12="","",IF(ISNUMBER($J12),N($F12)-$I12-$J12,"—"))</f>
        <v/>
      </c>
    </row>
    <row r="13" customFormat="false" ht="15" hidden="false" customHeight="true" outlineLevel="0" collapsed="false">
      <c r="A13" s="66" t="str">
        <f aca="false">IF(員工清單!A13="","",員工清單!A13)</f>
        <v/>
      </c>
      <c r="B13" s="66" t="str">
        <f aca="false">IF($A13="","",員工清單!B13)</f>
        <v/>
      </c>
      <c r="C13" s="45" t="str">
        <f aca="false">IF($A13="","",員工清單!L13)</f>
        <v/>
      </c>
      <c r="D13" s="45" t="str">
        <f aca="false">IF($A13="","",$C13*4)</f>
        <v/>
      </c>
      <c r="E13" s="33"/>
      <c r="F13" s="33"/>
      <c r="G13" s="45" t="str">
        <f aca="false">IF($A13="","",N($E13)+N($F13))</f>
        <v/>
      </c>
      <c r="H13" s="45" t="str">
        <f aca="false">IF($A13="","",MAX(0,$G13-$D13)-MAX(0,N($E13)-$D13))</f>
        <v/>
      </c>
      <c r="I13" s="45" t="str">
        <f aca="false">IF($A13="","",ROUND($H13*參數設定!$C$18,0))</f>
        <v/>
      </c>
      <c r="J13" s="45" t="str">
        <f aca="false">IF($A13="","",IF(IF(員工清單!T13="","居住者",員工清單!T13)="非居住者","併當月薪資依6%/18%",IF(N($F13)&gt;=參數設定!$C$21,ROUND($F13*參數設定!$C$23,0),0)))</f>
        <v/>
      </c>
      <c r="K13" s="45" t="str">
        <f aca="false">IF($A13="","",IF(ISNUMBER($J13),N($F13)-$I13-$J13,"—"))</f>
        <v/>
      </c>
    </row>
    <row r="14" customFormat="false" ht="15" hidden="false" customHeight="true" outlineLevel="0" collapsed="false">
      <c r="A14" s="66" t="str">
        <f aca="false">IF(員工清單!A14="","",員工清單!A14)</f>
        <v/>
      </c>
      <c r="B14" s="66" t="str">
        <f aca="false">IF($A14="","",員工清單!B14)</f>
        <v/>
      </c>
      <c r="C14" s="45" t="str">
        <f aca="false">IF($A14="","",員工清單!L14)</f>
        <v/>
      </c>
      <c r="D14" s="45" t="str">
        <f aca="false">IF($A14="","",$C14*4)</f>
        <v/>
      </c>
      <c r="E14" s="33"/>
      <c r="F14" s="33"/>
      <c r="G14" s="45" t="str">
        <f aca="false">IF($A14="","",N($E14)+N($F14))</f>
        <v/>
      </c>
      <c r="H14" s="45" t="str">
        <f aca="false">IF($A14="","",MAX(0,$G14-$D14)-MAX(0,N($E14)-$D14))</f>
        <v/>
      </c>
      <c r="I14" s="45" t="str">
        <f aca="false">IF($A14="","",ROUND($H14*參數設定!$C$18,0))</f>
        <v/>
      </c>
      <c r="J14" s="45" t="str">
        <f aca="false">IF($A14="","",IF(IF(員工清單!T14="","居住者",員工清單!T14)="非居住者","併當月薪資依6%/18%",IF(N($F14)&gt;=參數設定!$C$21,ROUND($F14*參數設定!$C$23,0),0)))</f>
        <v/>
      </c>
      <c r="K14" s="45" t="str">
        <f aca="false">IF($A14="","",IF(ISNUMBER($J14),N($F14)-$I14-$J14,"—"))</f>
        <v/>
      </c>
    </row>
    <row r="15" customFormat="false" ht="15" hidden="false" customHeight="true" outlineLevel="0" collapsed="false">
      <c r="A15" s="66" t="str">
        <f aca="false">IF(員工清單!A15="","",員工清單!A15)</f>
        <v/>
      </c>
      <c r="B15" s="66" t="str">
        <f aca="false">IF($A15="","",員工清單!B15)</f>
        <v/>
      </c>
      <c r="C15" s="45" t="str">
        <f aca="false">IF($A15="","",員工清單!L15)</f>
        <v/>
      </c>
      <c r="D15" s="45" t="str">
        <f aca="false">IF($A15="","",$C15*4)</f>
        <v/>
      </c>
      <c r="E15" s="33"/>
      <c r="F15" s="33"/>
      <c r="G15" s="45" t="str">
        <f aca="false">IF($A15="","",N($E15)+N($F15))</f>
        <v/>
      </c>
      <c r="H15" s="45" t="str">
        <f aca="false">IF($A15="","",MAX(0,$G15-$D15)-MAX(0,N($E15)-$D15))</f>
        <v/>
      </c>
      <c r="I15" s="45" t="str">
        <f aca="false">IF($A15="","",ROUND($H15*參數設定!$C$18,0))</f>
        <v/>
      </c>
      <c r="J15" s="45" t="str">
        <f aca="false">IF($A15="","",IF(IF(員工清單!T15="","居住者",員工清單!T15)="非居住者","併當月薪資依6%/18%",IF(N($F15)&gt;=參數設定!$C$21,ROUND($F15*參數設定!$C$23,0),0)))</f>
        <v/>
      </c>
      <c r="K15" s="45" t="str">
        <f aca="false">IF($A15="","",IF(ISNUMBER($J15),N($F15)-$I15-$J15,"—"))</f>
        <v/>
      </c>
    </row>
    <row r="16" customFormat="false" ht="15" hidden="false" customHeight="true" outlineLevel="0" collapsed="false">
      <c r="A16" s="66" t="str">
        <f aca="false">IF(員工清單!A16="","",員工清單!A16)</f>
        <v/>
      </c>
      <c r="B16" s="66" t="str">
        <f aca="false">IF($A16="","",員工清單!B16)</f>
        <v/>
      </c>
      <c r="C16" s="45" t="str">
        <f aca="false">IF($A16="","",員工清單!L16)</f>
        <v/>
      </c>
      <c r="D16" s="45" t="str">
        <f aca="false">IF($A16="","",$C16*4)</f>
        <v/>
      </c>
      <c r="E16" s="33"/>
      <c r="F16" s="33"/>
      <c r="G16" s="45" t="str">
        <f aca="false">IF($A16="","",N($E16)+N($F16))</f>
        <v/>
      </c>
      <c r="H16" s="45" t="str">
        <f aca="false">IF($A16="","",MAX(0,$G16-$D16)-MAX(0,N($E16)-$D16))</f>
        <v/>
      </c>
      <c r="I16" s="45" t="str">
        <f aca="false">IF($A16="","",ROUND($H16*參數設定!$C$18,0))</f>
        <v/>
      </c>
      <c r="J16" s="45" t="str">
        <f aca="false">IF($A16="","",IF(IF(員工清單!T16="","居住者",員工清單!T16)="非居住者","併當月薪資依6%/18%",IF(N($F16)&gt;=參數設定!$C$21,ROUND($F16*參數設定!$C$23,0),0)))</f>
        <v/>
      </c>
      <c r="K16" s="45" t="str">
        <f aca="false">IF($A16="","",IF(ISNUMBER($J16),N($F16)-$I16-$J16,"—"))</f>
        <v/>
      </c>
    </row>
    <row r="17" customFormat="false" ht="15" hidden="false" customHeight="true" outlineLevel="0" collapsed="false">
      <c r="A17" s="66" t="str">
        <f aca="false">IF(員工清單!A17="","",員工清單!A17)</f>
        <v/>
      </c>
      <c r="B17" s="66" t="str">
        <f aca="false">IF($A17="","",員工清單!B17)</f>
        <v/>
      </c>
      <c r="C17" s="45" t="str">
        <f aca="false">IF($A17="","",員工清單!L17)</f>
        <v/>
      </c>
      <c r="D17" s="45" t="str">
        <f aca="false">IF($A17="","",$C17*4)</f>
        <v/>
      </c>
      <c r="E17" s="33"/>
      <c r="F17" s="33"/>
      <c r="G17" s="45" t="str">
        <f aca="false">IF($A17="","",N($E17)+N($F17))</f>
        <v/>
      </c>
      <c r="H17" s="45" t="str">
        <f aca="false">IF($A17="","",MAX(0,$G17-$D17)-MAX(0,N($E17)-$D17))</f>
        <v/>
      </c>
      <c r="I17" s="45" t="str">
        <f aca="false">IF($A17="","",ROUND($H17*參數設定!$C$18,0))</f>
        <v/>
      </c>
      <c r="J17" s="45" t="str">
        <f aca="false">IF($A17="","",IF(IF(員工清單!T17="","居住者",員工清單!T17)="非居住者","併當月薪資依6%/18%",IF(N($F17)&gt;=參數設定!$C$21,ROUND($F17*參數設定!$C$23,0),0)))</f>
        <v/>
      </c>
      <c r="K17" s="45" t="str">
        <f aca="false">IF($A17="","",IF(ISNUMBER($J17),N($F17)-$I17-$J17,"—"))</f>
        <v/>
      </c>
    </row>
    <row r="18" customFormat="false" ht="15" hidden="false" customHeight="true" outlineLevel="0" collapsed="false">
      <c r="A18" s="66" t="str">
        <f aca="false">IF(員工清單!A18="","",員工清單!A18)</f>
        <v/>
      </c>
      <c r="B18" s="66" t="str">
        <f aca="false">IF($A18="","",員工清單!B18)</f>
        <v/>
      </c>
      <c r="C18" s="45" t="str">
        <f aca="false">IF($A18="","",員工清單!L18)</f>
        <v/>
      </c>
      <c r="D18" s="45" t="str">
        <f aca="false">IF($A18="","",$C18*4)</f>
        <v/>
      </c>
      <c r="E18" s="33"/>
      <c r="F18" s="33"/>
      <c r="G18" s="45" t="str">
        <f aca="false">IF($A18="","",N($E18)+N($F18))</f>
        <v/>
      </c>
      <c r="H18" s="45" t="str">
        <f aca="false">IF($A18="","",MAX(0,$G18-$D18)-MAX(0,N($E18)-$D18))</f>
        <v/>
      </c>
      <c r="I18" s="45" t="str">
        <f aca="false">IF($A18="","",ROUND($H18*參數設定!$C$18,0))</f>
        <v/>
      </c>
      <c r="J18" s="45" t="str">
        <f aca="false">IF($A18="","",IF(IF(員工清單!T18="","居住者",員工清單!T18)="非居住者","併當月薪資依6%/18%",IF(N($F18)&gt;=參數設定!$C$21,ROUND($F18*參數設定!$C$23,0),0)))</f>
        <v/>
      </c>
      <c r="K18" s="45" t="str">
        <f aca="false">IF($A18="","",IF(ISNUMBER($J18),N($F18)-$I18-$J18,"—"))</f>
        <v/>
      </c>
    </row>
    <row r="19" customFormat="false" ht="15" hidden="false" customHeight="true" outlineLevel="0" collapsed="false">
      <c r="A19" s="66" t="str">
        <f aca="false">IF(員工清單!A19="","",員工清單!A19)</f>
        <v/>
      </c>
      <c r="B19" s="66" t="str">
        <f aca="false">IF($A19="","",員工清單!B19)</f>
        <v/>
      </c>
      <c r="C19" s="45" t="str">
        <f aca="false">IF($A19="","",員工清單!L19)</f>
        <v/>
      </c>
      <c r="D19" s="45" t="str">
        <f aca="false">IF($A19="","",$C19*4)</f>
        <v/>
      </c>
      <c r="E19" s="33"/>
      <c r="F19" s="33"/>
      <c r="G19" s="45" t="str">
        <f aca="false">IF($A19="","",N($E19)+N($F19))</f>
        <v/>
      </c>
      <c r="H19" s="45" t="str">
        <f aca="false">IF($A19="","",MAX(0,$G19-$D19)-MAX(0,N($E19)-$D19))</f>
        <v/>
      </c>
      <c r="I19" s="45" t="str">
        <f aca="false">IF($A19="","",ROUND($H19*參數設定!$C$18,0))</f>
        <v/>
      </c>
      <c r="J19" s="45" t="str">
        <f aca="false">IF($A19="","",IF(IF(員工清單!T19="","居住者",員工清單!T19)="非居住者","併當月薪資依6%/18%",IF(N($F19)&gt;=參數設定!$C$21,ROUND($F19*參數設定!$C$23,0),0)))</f>
        <v/>
      </c>
      <c r="K19" s="45" t="str">
        <f aca="false">IF($A19="","",IF(ISNUMBER($J19),N($F19)-$I19-$J19,"—"))</f>
        <v/>
      </c>
    </row>
    <row r="20" customFormat="false" ht="15" hidden="false" customHeight="true" outlineLevel="0" collapsed="false">
      <c r="A20" s="66" t="str">
        <f aca="false">IF(員工清單!A20="","",員工清單!A20)</f>
        <v/>
      </c>
      <c r="B20" s="66" t="str">
        <f aca="false">IF($A20="","",員工清單!B20)</f>
        <v/>
      </c>
      <c r="C20" s="45" t="str">
        <f aca="false">IF($A20="","",員工清單!L20)</f>
        <v/>
      </c>
      <c r="D20" s="45" t="str">
        <f aca="false">IF($A20="","",$C20*4)</f>
        <v/>
      </c>
      <c r="E20" s="33"/>
      <c r="F20" s="33"/>
      <c r="G20" s="45" t="str">
        <f aca="false">IF($A20="","",N($E20)+N($F20))</f>
        <v/>
      </c>
      <c r="H20" s="45" t="str">
        <f aca="false">IF($A20="","",MAX(0,$G20-$D20)-MAX(0,N($E20)-$D20))</f>
        <v/>
      </c>
      <c r="I20" s="45" t="str">
        <f aca="false">IF($A20="","",ROUND($H20*參數設定!$C$18,0))</f>
        <v/>
      </c>
      <c r="J20" s="45" t="str">
        <f aca="false">IF($A20="","",IF(IF(員工清單!T20="","居住者",員工清單!T20)="非居住者","併當月薪資依6%/18%",IF(N($F20)&gt;=參數設定!$C$21,ROUND($F20*參數設定!$C$23,0),0)))</f>
        <v/>
      </c>
      <c r="K20" s="45" t="str">
        <f aca="false">IF($A20="","",IF(ISNUMBER($J20),N($F20)-$I20-$J20,"—"))</f>
        <v/>
      </c>
    </row>
    <row r="21" customFormat="false" ht="15" hidden="false" customHeight="true" outlineLevel="0" collapsed="false">
      <c r="A21" s="66" t="str">
        <f aca="false">IF(員工清單!A21="","",員工清單!A21)</f>
        <v/>
      </c>
      <c r="B21" s="66" t="str">
        <f aca="false">IF($A21="","",員工清單!B21)</f>
        <v/>
      </c>
      <c r="C21" s="45" t="str">
        <f aca="false">IF($A21="","",員工清單!L21)</f>
        <v/>
      </c>
      <c r="D21" s="45" t="str">
        <f aca="false">IF($A21="","",$C21*4)</f>
        <v/>
      </c>
      <c r="E21" s="33"/>
      <c r="F21" s="33"/>
      <c r="G21" s="45" t="str">
        <f aca="false">IF($A21="","",N($E21)+N($F21))</f>
        <v/>
      </c>
      <c r="H21" s="45" t="str">
        <f aca="false">IF($A21="","",MAX(0,$G21-$D21)-MAX(0,N($E21)-$D21))</f>
        <v/>
      </c>
      <c r="I21" s="45" t="str">
        <f aca="false">IF($A21="","",ROUND($H21*參數設定!$C$18,0))</f>
        <v/>
      </c>
      <c r="J21" s="45" t="str">
        <f aca="false">IF($A21="","",IF(IF(員工清單!T21="","居住者",員工清單!T21)="非居住者","併當月薪資依6%/18%",IF(N($F21)&gt;=參數設定!$C$21,ROUND($F21*參數設定!$C$23,0),0)))</f>
        <v/>
      </c>
      <c r="K21" s="45" t="str">
        <f aca="false">IF($A21="","",IF(ISNUMBER($J21),N($F21)-$I21-$J21,"—"))</f>
        <v/>
      </c>
    </row>
    <row r="22" customFormat="false" ht="15" hidden="false" customHeight="true" outlineLevel="0" collapsed="false">
      <c r="A22" s="66" t="str">
        <f aca="false">IF(員工清單!A22="","",員工清單!A22)</f>
        <v/>
      </c>
      <c r="B22" s="66" t="str">
        <f aca="false">IF($A22="","",員工清單!B22)</f>
        <v/>
      </c>
      <c r="C22" s="45" t="str">
        <f aca="false">IF($A22="","",員工清單!L22)</f>
        <v/>
      </c>
      <c r="D22" s="45" t="str">
        <f aca="false">IF($A22="","",$C22*4)</f>
        <v/>
      </c>
      <c r="E22" s="33"/>
      <c r="F22" s="33"/>
      <c r="G22" s="45" t="str">
        <f aca="false">IF($A22="","",N($E22)+N($F22))</f>
        <v/>
      </c>
      <c r="H22" s="45" t="str">
        <f aca="false">IF($A22="","",MAX(0,$G22-$D22)-MAX(0,N($E22)-$D22))</f>
        <v/>
      </c>
      <c r="I22" s="45" t="str">
        <f aca="false">IF($A22="","",ROUND($H22*參數設定!$C$18,0))</f>
        <v/>
      </c>
      <c r="J22" s="45" t="str">
        <f aca="false">IF($A22="","",IF(IF(員工清單!T22="","居住者",員工清單!T22)="非居住者","併當月薪資依6%/18%",IF(N($F22)&gt;=參數設定!$C$21,ROUND($F22*參數設定!$C$23,0),0)))</f>
        <v/>
      </c>
      <c r="K22" s="45" t="str">
        <f aca="false">IF($A22="","",IF(ISNUMBER($J22),N($F22)-$I22-$J22,"—"))</f>
        <v/>
      </c>
    </row>
    <row r="23" customFormat="false" ht="15" hidden="false" customHeight="true" outlineLevel="0" collapsed="false">
      <c r="A23" s="66" t="str">
        <f aca="false">IF(員工清單!A23="","",員工清單!A23)</f>
        <v/>
      </c>
      <c r="B23" s="66" t="str">
        <f aca="false">IF($A23="","",員工清單!B23)</f>
        <v/>
      </c>
      <c r="C23" s="45" t="str">
        <f aca="false">IF($A23="","",員工清單!L23)</f>
        <v/>
      </c>
      <c r="D23" s="45" t="str">
        <f aca="false">IF($A23="","",$C23*4)</f>
        <v/>
      </c>
      <c r="E23" s="33"/>
      <c r="F23" s="33"/>
      <c r="G23" s="45" t="str">
        <f aca="false">IF($A23="","",N($E23)+N($F23))</f>
        <v/>
      </c>
      <c r="H23" s="45" t="str">
        <f aca="false">IF($A23="","",MAX(0,$G23-$D23)-MAX(0,N($E23)-$D23))</f>
        <v/>
      </c>
      <c r="I23" s="45" t="str">
        <f aca="false">IF($A23="","",ROUND($H23*參數設定!$C$18,0))</f>
        <v/>
      </c>
      <c r="J23" s="45" t="str">
        <f aca="false">IF($A23="","",IF(IF(員工清單!T23="","居住者",員工清單!T23)="非居住者","併當月薪資依6%/18%",IF(N($F23)&gt;=參數設定!$C$21,ROUND($F23*參數設定!$C$23,0),0)))</f>
        <v/>
      </c>
      <c r="K23" s="45" t="str">
        <f aca="false">IF($A23="","",IF(ISNUMBER($J23),N($F23)-$I23-$J23,"—"))</f>
        <v/>
      </c>
    </row>
    <row r="24" customFormat="false" ht="15" hidden="false" customHeight="true" outlineLevel="0" collapsed="false">
      <c r="A24" s="66" t="str">
        <f aca="false">IF(員工清單!A24="","",員工清單!A24)</f>
        <v/>
      </c>
      <c r="B24" s="66" t="str">
        <f aca="false">IF($A24="","",員工清單!B24)</f>
        <v/>
      </c>
      <c r="C24" s="45" t="str">
        <f aca="false">IF($A24="","",員工清單!L24)</f>
        <v/>
      </c>
      <c r="D24" s="45" t="str">
        <f aca="false">IF($A24="","",$C24*4)</f>
        <v/>
      </c>
      <c r="E24" s="33"/>
      <c r="F24" s="33"/>
      <c r="G24" s="45" t="str">
        <f aca="false">IF($A24="","",N($E24)+N($F24))</f>
        <v/>
      </c>
      <c r="H24" s="45" t="str">
        <f aca="false">IF($A24="","",MAX(0,$G24-$D24)-MAX(0,N($E24)-$D24))</f>
        <v/>
      </c>
      <c r="I24" s="45" t="str">
        <f aca="false">IF($A24="","",ROUND($H24*參數設定!$C$18,0))</f>
        <v/>
      </c>
      <c r="J24" s="45" t="str">
        <f aca="false">IF($A24="","",IF(IF(員工清單!T24="","居住者",員工清單!T24)="非居住者","併當月薪資依6%/18%",IF(N($F24)&gt;=參數設定!$C$21,ROUND($F24*參數設定!$C$23,0),0)))</f>
        <v/>
      </c>
      <c r="K24" s="45" t="str">
        <f aca="false">IF($A24="","",IF(ISNUMBER($J24),N($F24)-$I24-$J24,"—"))</f>
        <v/>
      </c>
    </row>
    <row r="25" customFormat="false" ht="15" hidden="false" customHeight="true" outlineLevel="0" collapsed="false">
      <c r="A25" s="66" t="str">
        <f aca="false">IF(員工清單!A25="","",員工清單!A25)</f>
        <v/>
      </c>
      <c r="B25" s="66" t="str">
        <f aca="false">IF($A25="","",員工清單!B25)</f>
        <v/>
      </c>
      <c r="C25" s="45" t="str">
        <f aca="false">IF($A25="","",員工清單!L25)</f>
        <v/>
      </c>
      <c r="D25" s="45" t="str">
        <f aca="false">IF($A25="","",$C25*4)</f>
        <v/>
      </c>
      <c r="E25" s="33"/>
      <c r="F25" s="33"/>
      <c r="G25" s="45" t="str">
        <f aca="false">IF($A25="","",N($E25)+N($F25))</f>
        <v/>
      </c>
      <c r="H25" s="45" t="str">
        <f aca="false">IF($A25="","",MAX(0,$G25-$D25)-MAX(0,N($E25)-$D25))</f>
        <v/>
      </c>
      <c r="I25" s="45" t="str">
        <f aca="false">IF($A25="","",ROUND($H25*參數設定!$C$18,0))</f>
        <v/>
      </c>
      <c r="J25" s="45" t="str">
        <f aca="false">IF($A25="","",IF(IF(員工清單!T25="","居住者",員工清單!T25)="非居住者","併當月薪資依6%/18%",IF(N($F25)&gt;=參數設定!$C$21,ROUND($F25*參數設定!$C$23,0),0)))</f>
        <v/>
      </c>
      <c r="K25" s="45" t="str">
        <f aca="false">IF($A25="","",IF(ISNUMBER($J25),N($F25)-$I25-$J25,"—"))</f>
        <v/>
      </c>
    </row>
    <row r="26" customFormat="false" ht="15" hidden="false" customHeight="true" outlineLevel="0" collapsed="false">
      <c r="A26" s="66" t="str">
        <f aca="false">IF(員工清單!A26="","",員工清單!A26)</f>
        <v/>
      </c>
      <c r="B26" s="66" t="str">
        <f aca="false">IF($A26="","",員工清單!B26)</f>
        <v/>
      </c>
      <c r="C26" s="45" t="str">
        <f aca="false">IF($A26="","",員工清單!L26)</f>
        <v/>
      </c>
      <c r="D26" s="45" t="str">
        <f aca="false">IF($A26="","",$C26*4)</f>
        <v/>
      </c>
      <c r="E26" s="33"/>
      <c r="F26" s="33"/>
      <c r="G26" s="45" t="str">
        <f aca="false">IF($A26="","",N($E26)+N($F26))</f>
        <v/>
      </c>
      <c r="H26" s="45" t="str">
        <f aca="false">IF($A26="","",MAX(0,$G26-$D26)-MAX(0,N($E26)-$D26))</f>
        <v/>
      </c>
      <c r="I26" s="45" t="str">
        <f aca="false">IF($A26="","",ROUND($H26*參數設定!$C$18,0))</f>
        <v/>
      </c>
      <c r="J26" s="45" t="str">
        <f aca="false">IF($A26="","",IF(IF(員工清單!T26="","居住者",員工清單!T26)="非居住者","併當月薪資依6%/18%",IF(N($F26)&gt;=參數設定!$C$21,ROUND($F26*參數設定!$C$23,0),0)))</f>
        <v/>
      </c>
      <c r="K26" s="45" t="str">
        <f aca="false">IF($A26="","",IF(ISNUMBER($J26),N($F26)-$I26-$J26,"—"))</f>
        <v/>
      </c>
    </row>
    <row r="27" customFormat="false" ht="15" hidden="false" customHeight="true" outlineLevel="0" collapsed="false">
      <c r="A27" s="66" t="str">
        <f aca="false">IF(員工清單!A27="","",員工清單!A27)</f>
        <v/>
      </c>
      <c r="B27" s="66" t="str">
        <f aca="false">IF($A27="","",員工清單!B27)</f>
        <v/>
      </c>
      <c r="C27" s="45" t="str">
        <f aca="false">IF($A27="","",員工清單!L27)</f>
        <v/>
      </c>
      <c r="D27" s="45" t="str">
        <f aca="false">IF($A27="","",$C27*4)</f>
        <v/>
      </c>
      <c r="E27" s="33"/>
      <c r="F27" s="33"/>
      <c r="G27" s="45" t="str">
        <f aca="false">IF($A27="","",N($E27)+N($F27))</f>
        <v/>
      </c>
      <c r="H27" s="45" t="str">
        <f aca="false">IF($A27="","",MAX(0,$G27-$D27)-MAX(0,N($E27)-$D27))</f>
        <v/>
      </c>
      <c r="I27" s="45" t="str">
        <f aca="false">IF($A27="","",ROUND($H27*參數設定!$C$18,0))</f>
        <v/>
      </c>
      <c r="J27" s="45" t="str">
        <f aca="false">IF($A27="","",IF(IF(員工清單!T27="","居住者",員工清單!T27)="非居住者","併當月薪資依6%/18%",IF(N($F27)&gt;=參數設定!$C$21,ROUND($F27*參數設定!$C$23,0),0)))</f>
        <v/>
      </c>
      <c r="K27" s="45" t="str">
        <f aca="false">IF($A27="","",IF(ISNUMBER($J27),N($F27)-$I27-$J27,"—"))</f>
        <v/>
      </c>
    </row>
    <row r="28" customFormat="false" ht="15" hidden="false" customHeight="true" outlineLevel="0" collapsed="false">
      <c r="A28" s="66" t="str">
        <f aca="false">IF(員工清單!A28="","",員工清單!A28)</f>
        <v/>
      </c>
      <c r="B28" s="66" t="str">
        <f aca="false">IF($A28="","",員工清單!B28)</f>
        <v/>
      </c>
      <c r="C28" s="45" t="str">
        <f aca="false">IF($A28="","",員工清單!L28)</f>
        <v/>
      </c>
      <c r="D28" s="45" t="str">
        <f aca="false">IF($A28="","",$C28*4)</f>
        <v/>
      </c>
      <c r="E28" s="33"/>
      <c r="F28" s="33"/>
      <c r="G28" s="45" t="str">
        <f aca="false">IF($A28="","",N($E28)+N($F28))</f>
        <v/>
      </c>
      <c r="H28" s="45" t="str">
        <f aca="false">IF($A28="","",MAX(0,$G28-$D28)-MAX(0,N($E28)-$D28))</f>
        <v/>
      </c>
      <c r="I28" s="45" t="str">
        <f aca="false">IF($A28="","",ROUND($H28*參數設定!$C$18,0))</f>
        <v/>
      </c>
      <c r="J28" s="45" t="str">
        <f aca="false">IF($A28="","",IF(IF(員工清單!T28="","居住者",員工清單!T28)="非居住者","併當月薪資依6%/18%",IF(N($F28)&gt;=參數設定!$C$21,ROUND($F28*參數設定!$C$23,0),0)))</f>
        <v/>
      </c>
      <c r="K28" s="45" t="str">
        <f aca="false">IF($A28="","",IF(ISNUMBER($J28),N($F28)-$I28-$J28,"—"))</f>
        <v/>
      </c>
    </row>
    <row r="29" customFormat="false" ht="15" hidden="false" customHeight="true" outlineLevel="0" collapsed="false">
      <c r="A29" s="66" t="str">
        <f aca="false">IF(員工清單!A29="","",員工清單!A29)</f>
        <v/>
      </c>
      <c r="B29" s="66" t="str">
        <f aca="false">IF($A29="","",員工清單!B29)</f>
        <v/>
      </c>
      <c r="C29" s="45" t="str">
        <f aca="false">IF($A29="","",員工清單!L29)</f>
        <v/>
      </c>
      <c r="D29" s="45" t="str">
        <f aca="false">IF($A29="","",$C29*4)</f>
        <v/>
      </c>
      <c r="E29" s="33"/>
      <c r="F29" s="33"/>
      <c r="G29" s="45" t="str">
        <f aca="false">IF($A29="","",N($E29)+N($F29))</f>
        <v/>
      </c>
      <c r="H29" s="45" t="str">
        <f aca="false">IF($A29="","",MAX(0,$G29-$D29)-MAX(0,N($E29)-$D29))</f>
        <v/>
      </c>
      <c r="I29" s="45" t="str">
        <f aca="false">IF($A29="","",ROUND($H29*參數設定!$C$18,0))</f>
        <v/>
      </c>
      <c r="J29" s="45" t="str">
        <f aca="false">IF($A29="","",IF(IF(員工清單!T29="","居住者",員工清單!T29)="非居住者","併當月薪資依6%/18%",IF(N($F29)&gt;=參數設定!$C$21,ROUND($F29*參數設定!$C$23,0),0)))</f>
        <v/>
      </c>
      <c r="K29" s="45" t="str">
        <f aca="false">IF($A29="","",IF(ISNUMBER($J29),N($F29)-$I29-$J29,"—"))</f>
        <v/>
      </c>
    </row>
    <row r="30" customFormat="false" ht="15" hidden="false" customHeight="true" outlineLevel="0" collapsed="false">
      <c r="A30" s="66" t="str">
        <f aca="false">IF(員工清單!A30="","",員工清單!A30)</f>
        <v/>
      </c>
      <c r="B30" s="66" t="str">
        <f aca="false">IF($A30="","",員工清單!B30)</f>
        <v/>
      </c>
      <c r="C30" s="45" t="str">
        <f aca="false">IF($A30="","",員工清單!L30)</f>
        <v/>
      </c>
      <c r="D30" s="45" t="str">
        <f aca="false">IF($A30="","",$C30*4)</f>
        <v/>
      </c>
      <c r="E30" s="33"/>
      <c r="F30" s="33"/>
      <c r="G30" s="45" t="str">
        <f aca="false">IF($A30="","",N($E30)+N($F30))</f>
        <v/>
      </c>
      <c r="H30" s="45" t="str">
        <f aca="false">IF($A30="","",MAX(0,$G30-$D30)-MAX(0,N($E30)-$D30))</f>
        <v/>
      </c>
      <c r="I30" s="45" t="str">
        <f aca="false">IF($A30="","",ROUND($H30*參數設定!$C$18,0))</f>
        <v/>
      </c>
      <c r="J30" s="45" t="str">
        <f aca="false">IF($A30="","",IF(IF(員工清單!T30="","居住者",員工清單!T30)="非居住者","併當月薪資依6%/18%",IF(N($F30)&gt;=參數設定!$C$21,ROUND($F30*參數設定!$C$23,0),0)))</f>
        <v/>
      </c>
      <c r="K30" s="45" t="str">
        <f aca="false">IF($A30="","",IF(ISNUMBER($J30),N($F30)-$I30-$J30,"—"))</f>
        <v/>
      </c>
    </row>
    <row r="31" customFormat="false" ht="15" hidden="false" customHeight="true" outlineLevel="0" collapsed="false">
      <c r="A31" s="66" t="str">
        <f aca="false">IF(員工清單!A31="","",員工清單!A31)</f>
        <v/>
      </c>
      <c r="B31" s="66" t="str">
        <f aca="false">IF($A31="","",員工清單!B31)</f>
        <v/>
      </c>
      <c r="C31" s="45" t="str">
        <f aca="false">IF($A31="","",員工清單!L31)</f>
        <v/>
      </c>
      <c r="D31" s="45" t="str">
        <f aca="false">IF($A31="","",$C31*4)</f>
        <v/>
      </c>
      <c r="E31" s="33"/>
      <c r="F31" s="33"/>
      <c r="G31" s="45" t="str">
        <f aca="false">IF($A31="","",N($E31)+N($F31))</f>
        <v/>
      </c>
      <c r="H31" s="45" t="str">
        <f aca="false">IF($A31="","",MAX(0,$G31-$D31)-MAX(0,N($E31)-$D31))</f>
        <v/>
      </c>
      <c r="I31" s="45" t="str">
        <f aca="false">IF($A31="","",ROUND($H31*參數設定!$C$18,0))</f>
        <v/>
      </c>
      <c r="J31" s="45" t="str">
        <f aca="false">IF($A31="","",IF(IF(員工清單!T31="","居住者",員工清單!T31)="非居住者","併當月薪資依6%/18%",IF(N($F31)&gt;=參數設定!$C$21,ROUND($F31*參數設定!$C$23,0),0)))</f>
        <v/>
      </c>
      <c r="K31" s="45" t="str">
        <f aca="false">IF($A31="","",IF(ISNUMBER($J31),N($F31)-$I31-$J31,"—"))</f>
        <v/>
      </c>
    </row>
    <row r="32" customFormat="false" ht="15" hidden="false" customHeight="true" outlineLevel="0" collapsed="false">
      <c r="A32" s="66" t="str">
        <f aca="false">IF(員工清單!A32="","",員工清單!A32)</f>
        <v/>
      </c>
      <c r="B32" s="66" t="str">
        <f aca="false">IF($A32="","",員工清單!B32)</f>
        <v/>
      </c>
      <c r="C32" s="45" t="str">
        <f aca="false">IF($A32="","",員工清單!L32)</f>
        <v/>
      </c>
      <c r="D32" s="45" t="str">
        <f aca="false">IF($A32="","",$C32*4)</f>
        <v/>
      </c>
      <c r="E32" s="33"/>
      <c r="F32" s="33"/>
      <c r="G32" s="45" t="str">
        <f aca="false">IF($A32="","",N($E32)+N($F32))</f>
        <v/>
      </c>
      <c r="H32" s="45" t="str">
        <f aca="false">IF($A32="","",MAX(0,$G32-$D32)-MAX(0,N($E32)-$D32))</f>
        <v/>
      </c>
      <c r="I32" s="45" t="str">
        <f aca="false">IF($A32="","",ROUND($H32*參數設定!$C$18,0))</f>
        <v/>
      </c>
      <c r="J32" s="45" t="str">
        <f aca="false">IF($A32="","",IF(IF(員工清單!T32="","居住者",員工清單!T32)="非居住者","併當月薪資依6%/18%",IF(N($F32)&gt;=參數設定!$C$21,ROUND($F32*參數設定!$C$23,0),0)))</f>
        <v/>
      </c>
      <c r="K32" s="45" t="str">
        <f aca="false">IF($A32="","",IF(ISNUMBER($J32),N($F32)-$I32-$J32,"—"))</f>
        <v/>
      </c>
    </row>
    <row r="33" customFormat="false" ht="15" hidden="false" customHeight="true" outlineLevel="0" collapsed="false">
      <c r="A33" s="66" t="str">
        <f aca="false">IF(員工清單!A33="","",員工清單!A33)</f>
        <v/>
      </c>
      <c r="B33" s="66" t="str">
        <f aca="false">IF($A33="","",員工清單!B33)</f>
        <v/>
      </c>
      <c r="C33" s="45" t="str">
        <f aca="false">IF($A33="","",員工清單!L33)</f>
        <v/>
      </c>
      <c r="D33" s="45" t="str">
        <f aca="false">IF($A33="","",$C33*4)</f>
        <v/>
      </c>
      <c r="E33" s="33"/>
      <c r="F33" s="33"/>
      <c r="G33" s="45" t="str">
        <f aca="false">IF($A33="","",N($E33)+N($F33))</f>
        <v/>
      </c>
      <c r="H33" s="45" t="str">
        <f aca="false">IF($A33="","",MAX(0,$G33-$D33)-MAX(0,N($E33)-$D33))</f>
        <v/>
      </c>
      <c r="I33" s="45" t="str">
        <f aca="false">IF($A33="","",ROUND($H33*參數設定!$C$18,0))</f>
        <v/>
      </c>
      <c r="J33" s="45" t="str">
        <f aca="false">IF($A33="","",IF(IF(員工清單!T33="","居住者",員工清單!T33)="非居住者","併當月薪資依6%/18%",IF(N($F33)&gt;=參數設定!$C$21,ROUND($F33*參數設定!$C$23,0),0)))</f>
        <v/>
      </c>
      <c r="K33" s="45" t="str">
        <f aca="false">IF($A33="","",IF(ISNUMBER($J33),N($F33)-$I33-$J33,"—"))</f>
        <v/>
      </c>
    </row>
    <row r="34" customFormat="false" ht="15" hidden="false" customHeight="true" outlineLevel="0" collapsed="false">
      <c r="A34" s="66" t="str">
        <f aca="false">IF(員工清單!A34="","",員工清單!A34)</f>
        <v/>
      </c>
      <c r="B34" s="66" t="str">
        <f aca="false">IF($A34="","",員工清單!B34)</f>
        <v/>
      </c>
      <c r="C34" s="45" t="str">
        <f aca="false">IF($A34="","",員工清單!L34)</f>
        <v/>
      </c>
      <c r="D34" s="45" t="str">
        <f aca="false">IF($A34="","",$C34*4)</f>
        <v/>
      </c>
      <c r="E34" s="33"/>
      <c r="F34" s="33"/>
      <c r="G34" s="45" t="str">
        <f aca="false">IF($A34="","",N($E34)+N($F34))</f>
        <v/>
      </c>
      <c r="H34" s="45" t="str">
        <f aca="false">IF($A34="","",MAX(0,$G34-$D34)-MAX(0,N($E34)-$D34))</f>
        <v/>
      </c>
      <c r="I34" s="45" t="str">
        <f aca="false">IF($A34="","",ROUND($H34*參數設定!$C$18,0))</f>
        <v/>
      </c>
      <c r="J34" s="45" t="str">
        <f aca="false">IF($A34="","",IF(IF(員工清單!T34="","居住者",員工清單!T34)="非居住者","併當月薪資依6%/18%",IF(N($F34)&gt;=參數設定!$C$21,ROUND($F34*參數設定!$C$23,0),0)))</f>
        <v/>
      </c>
      <c r="K34" s="45" t="str">
        <f aca="false">IF($A34="","",IF(ISNUMBER($J34),N($F34)-$I34-$J34,"—"))</f>
        <v/>
      </c>
    </row>
    <row r="35" customFormat="false" ht="15" hidden="false" customHeight="true" outlineLevel="0" collapsed="false">
      <c r="A35" s="66" t="str">
        <f aca="false">IF(員工清單!A35="","",員工清單!A35)</f>
        <v/>
      </c>
      <c r="B35" s="66" t="str">
        <f aca="false">IF($A35="","",員工清單!B35)</f>
        <v/>
      </c>
      <c r="C35" s="45" t="str">
        <f aca="false">IF($A35="","",員工清單!L35)</f>
        <v/>
      </c>
      <c r="D35" s="45" t="str">
        <f aca="false">IF($A35="","",$C35*4)</f>
        <v/>
      </c>
      <c r="E35" s="33"/>
      <c r="F35" s="33"/>
      <c r="G35" s="45" t="str">
        <f aca="false">IF($A35="","",N($E35)+N($F35))</f>
        <v/>
      </c>
      <c r="H35" s="45" t="str">
        <f aca="false">IF($A35="","",MAX(0,$G35-$D35)-MAX(0,N($E35)-$D35))</f>
        <v/>
      </c>
      <c r="I35" s="45" t="str">
        <f aca="false">IF($A35="","",ROUND($H35*參數設定!$C$18,0))</f>
        <v/>
      </c>
      <c r="J35" s="45" t="str">
        <f aca="false">IF($A35="","",IF(IF(員工清單!T35="","居住者",員工清單!T35)="非居住者","併當月薪資依6%/18%",IF(N($F35)&gt;=參數設定!$C$21,ROUND($F35*參數設定!$C$23,0),0)))</f>
        <v/>
      </c>
      <c r="K35" s="45" t="str">
        <f aca="false">IF($A35="","",IF(ISNUMBER($J35),N($F35)-$I35-$J35,"—"))</f>
        <v/>
      </c>
    </row>
    <row r="36" customFormat="false" ht="15" hidden="false" customHeight="true" outlineLevel="0" collapsed="false">
      <c r="A36" s="66" t="str">
        <f aca="false">IF(員工清單!A36="","",員工清單!A36)</f>
        <v/>
      </c>
      <c r="B36" s="66" t="str">
        <f aca="false">IF($A36="","",員工清單!B36)</f>
        <v/>
      </c>
      <c r="C36" s="45" t="str">
        <f aca="false">IF($A36="","",員工清單!L36)</f>
        <v/>
      </c>
      <c r="D36" s="45" t="str">
        <f aca="false">IF($A36="","",$C36*4)</f>
        <v/>
      </c>
      <c r="E36" s="33"/>
      <c r="F36" s="33"/>
      <c r="G36" s="45" t="str">
        <f aca="false">IF($A36="","",N($E36)+N($F36))</f>
        <v/>
      </c>
      <c r="H36" s="45" t="str">
        <f aca="false">IF($A36="","",MAX(0,$G36-$D36)-MAX(0,N($E36)-$D36))</f>
        <v/>
      </c>
      <c r="I36" s="45" t="str">
        <f aca="false">IF($A36="","",ROUND($H36*參數設定!$C$18,0))</f>
        <v/>
      </c>
      <c r="J36" s="45" t="str">
        <f aca="false">IF($A36="","",IF(IF(員工清單!T36="","居住者",員工清單!T36)="非居住者","併當月薪資依6%/18%",IF(N($F36)&gt;=參數設定!$C$21,ROUND($F36*參數設定!$C$23,0),0)))</f>
        <v/>
      </c>
      <c r="K36" s="45" t="str">
        <f aca="false">IF($A36="","",IF(ISNUMBER($J36),N($F36)-$I36-$J36,"—"))</f>
        <v/>
      </c>
    </row>
    <row r="37" customFormat="false" ht="15" hidden="false" customHeight="true" outlineLevel="0" collapsed="false">
      <c r="A37" s="66" t="str">
        <f aca="false">IF(員工清單!A37="","",員工清單!A37)</f>
        <v/>
      </c>
      <c r="B37" s="66" t="str">
        <f aca="false">IF($A37="","",員工清單!B37)</f>
        <v/>
      </c>
      <c r="C37" s="45" t="str">
        <f aca="false">IF($A37="","",員工清單!L37)</f>
        <v/>
      </c>
      <c r="D37" s="45" t="str">
        <f aca="false">IF($A37="","",$C37*4)</f>
        <v/>
      </c>
      <c r="E37" s="33"/>
      <c r="F37" s="33"/>
      <c r="G37" s="45" t="str">
        <f aca="false">IF($A37="","",N($E37)+N($F37))</f>
        <v/>
      </c>
      <c r="H37" s="45" t="str">
        <f aca="false">IF($A37="","",MAX(0,$G37-$D37)-MAX(0,N($E37)-$D37))</f>
        <v/>
      </c>
      <c r="I37" s="45" t="str">
        <f aca="false">IF($A37="","",ROUND($H37*參數設定!$C$18,0))</f>
        <v/>
      </c>
      <c r="J37" s="45" t="str">
        <f aca="false">IF($A37="","",IF(IF(員工清單!T37="","居住者",員工清單!T37)="非居住者","併當月薪資依6%/18%",IF(N($F37)&gt;=參數設定!$C$21,ROUND($F37*參數設定!$C$23,0),0)))</f>
        <v/>
      </c>
      <c r="K37" s="45" t="str">
        <f aca="false">IF($A37="","",IF(ISNUMBER($J37),N($F37)-$I37-$J37,"—"))</f>
        <v/>
      </c>
    </row>
    <row r="38" customFormat="false" ht="15" hidden="false" customHeight="true" outlineLevel="0" collapsed="false">
      <c r="A38" s="66" t="str">
        <f aca="false">IF(員工清單!A38="","",員工清單!A38)</f>
        <v/>
      </c>
      <c r="B38" s="66" t="str">
        <f aca="false">IF($A38="","",員工清單!B38)</f>
        <v/>
      </c>
      <c r="C38" s="45" t="str">
        <f aca="false">IF($A38="","",員工清單!L38)</f>
        <v/>
      </c>
      <c r="D38" s="45" t="str">
        <f aca="false">IF($A38="","",$C38*4)</f>
        <v/>
      </c>
      <c r="E38" s="33"/>
      <c r="F38" s="33"/>
      <c r="G38" s="45" t="str">
        <f aca="false">IF($A38="","",N($E38)+N($F38))</f>
        <v/>
      </c>
      <c r="H38" s="45" t="str">
        <f aca="false">IF($A38="","",MAX(0,$G38-$D38)-MAX(0,N($E38)-$D38))</f>
        <v/>
      </c>
      <c r="I38" s="45" t="str">
        <f aca="false">IF($A38="","",ROUND($H38*參數設定!$C$18,0))</f>
        <v/>
      </c>
      <c r="J38" s="45" t="str">
        <f aca="false">IF($A38="","",IF(IF(員工清單!T38="","居住者",員工清單!T38)="非居住者","併當月薪資依6%/18%",IF(N($F38)&gt;=參數設定!$C$21,ROUND($F38*參數設定!$C$23,0),0)))</f>
        <v/>
      </c>
      <c r="K38" s="45" t="str">
        <f aca="false">IF($A38="","",IF(ISNUMBER($J38),N($F38)-$I38-$J38,"—"))</f>
        <v/>
      </c>
    </row>
    <row r="39" customFormat="false" ht="15" hidden="false" customHeight="true" outlineLevel="0" collapsed="false">
      <c r="A39" s="66" t="str">
        <f aca="false">IF(員工清單!A39="","",員工清單!A39)</f>
        <v/>
      </c>
      <c r="B39" s="66" t="str">
        <f aca="false">IF($A39="","",員工清單!B39)</f>
        <v/>
      </c>
      <c r="C39" s="45" t="str">
        <f aca="false">IF($A39="","",員工清單!L39)</f>
        <v/>
      </c>
      <c r="D39" s="45" t="str">
        <f aca="false">IF($A39="","",$C39*4)</f>
        <v/>
      </c>
      <c r="E39" s="33"/>
      <c r="F39" s="33"/>
      <c r="G39" s="45" t="str">
        <f aca="false">IF($A39="","",N($E39)+N($F39))</f>
        <v/>
      </c>
      <c r="H39" s="45" t="str">
        <f aca="false">IF($A39="","",MAX(0,$G39-$D39)-MAX(0,N($E39)-$D39))</f>
        <v/>
      </c>
      <c r="I39" s="45" t="str">
        <f aca="false">IF($A39="","",ROUND($H39*參數設定!$C$18,0))</f>
        <v/>
      </c>
      <c r="J39" s="45" t="str">
        <f aca="false">IF($A39="","",IF(IF(員工清單!T39="","居住者",員工清單!T39)="非居住者","併當月薪資依6%/18%",IF(N($F39)&gt;=參數設定!$C$21,ROUND($F39*參數設定!$C$23,0),0)))</f>
        <v/>
      </c>
      <c r="K39" s="45" t="str">
        <f aca="false">IF($A39="","",IF(ISNUMBER($J39),N($F39)-$I39-$J39,"—"))</f>
        <v/>
      </c>
    </row>
    <row r="40" customFormat="false" ht="15" hidden="false" customHeight="true" outlineLevel="0" collapsed="false">
      <c r="A40" s="66" t="str">
        <f aca="false">IF(員工清單!A40="","",員工清單!A40)</f>
        <v/>
      </c>
      <c r="B40" s="66" t="str">
        <f aca="false">IF($A40="","",員工清單!B40)</f>
        <v/>
      </c>
      <c r="C40" s="45" t="str">
        <f aca="false">IF($A40="","",員工清單!L40)</f>
        <v/>
      </c>
      <c r="D40" s="45" t="str">
        <f aca="false">IF($A40="","",$C40*4)</f>
        <v/>
      </c>
      <c r="E40" s="33"/>
      <c r="F40" s="33"/>
      <c r="G40" s="45" t="str">
        <f aca="false">IF($A40="","",N($E40)+N($F40))</f>
        <v/>
      </c>
      <c r="H40" s="45" t="str">
        <f aca="false">IF($A40="","",MAX(0,$G40-$D40)-MAX(0,N($E40)-$D40))</f>
        <v/>
      </c>
      <c r="I40" s="45" t="str">
        <f aca="false">IF($A40="","",ROUND($H40*參數設定!$C$18,0))</f>
        <v/>
      </c>
      <c r="J40" s="45" t="str">
        <f aca="false">IF($A40="","",IF(IF(員工清單!T40="","居住者",員工清單!T40)="非居住者","併當月薪資依6%/18%",IF(N($F40)&gt;=參數設定!$C$21,ROUND($F40*參數設定!$C$23,0),0)))</f>
        <v/>
      </c>
      <c r="K40" s="45" t="str">
        <f aca="false">IF($A40="","",IF(ISNUMBER($J40),N($F40)-$I40-$J40,"—"))</f>
        <v/>
      </c>
    </row>
    <row r="41" customFormat="false" ht="15" hidden="false" customHeight="true" outlineLevel="0" collapsed="false">
      <c r="A41" s="66" t="str">
        <f aca="false">IF(員工清單!A41="","",員工清單!A41)</f>
        <v/>
      </c>
      <c r="B41" s="66" t="str">
        <f aca="false">IF($A41="","",員工清單!B41)</f>
        <v/>
      </c>
      <c r="C41" s="45" t="str">
        <f aca="false">IF($A41="","",員工清單!L41)</f>
        <v/>
      </c>
      <c r="D41" s="45" t="str">
        <f aca="false">IF($A41="","",$C41*4)</f>
        <v/>
      </c>
      <c r="E41" s="33"/>
      <c r="F41" s="33"/>
      <c r="G41" s="45" t="str">
        <f aca="false">IF($A41="","",N($E41)+N($F41))</f>
        <v/>
      </c>
      <c r="H41" s="45" t="str">
        <f aca="false">IF($A41="","",MAX(0,$G41-$D41)-MAX(0,N($E41)-$D41))</f>
        <v/>
      </c>
      <c r="I41" s="45" t="str">
        <f aca="false">IF($A41="","",ROUND($H41*參數設定!$C$18,0))</f>
        <v/>
      </c>
      <c r="J41" s="45" t="str">
        <f aca="false">IF($A41="","",IF(IF(員工清單!T41="","居住者",員工清單!T41)="非居住者","併當月薪資依6%/18%",IF(N($F41)&gt;=參數設定!$C$21,ROUND($F41*參數設定!$C$23,0),0)))</f>
        <v/>
      </c>
      <c r="K41" s="45" t="str">
        <f aca="false">IF($A41="","",IF(ISNUMBER($J41),N($F41)-$I41-$J41,"—"))</f>
        <v/>
      </c>
    </row>
    <row r="42" customFormat="false" ht="15" hidden="false" customHeight="true" outlineLevel="0" collapsed="false">
      <c r="A42" s="66" t="str">
        <f aca="false">IF(員工清單!A42="","",員工清單!A42)</f>
        <v/>
      </c>
      <c r="B42" s="66" t="str">
        <f aca="false">IF($A42="","",員工清單!B42)</f>
        <v/>
      </c>
      <c r="C42" s="45" t="str">
        <f aca="false">IF($A42="","",員工清單!L42)</f>
        <v/>
      </c>
      <c r="D42" s="45" t="str">
        <f aca="false">IF($A42="","",$C42*4)</f>
        <v/>
      </c>
      <c r="E42" s="33"/>
      <c r="F42" s="33"/>
      <c r="G42" s="45" t="str">
        <f aca="false">IF($A42="","",N($E42)+N($F42))</f>
        <v/>
      </c>
      <c r="H42" s="45" t="str">
        <f aca="false">IF($A42="","",MAX(0,$G42-$D42)-MAX(0,N($E42)-$D42))</f>
        <v/>
      </c>
      <c r="I42" s="45" t="str">
        <f aca="false">IF($A42="","",ROUND($H42*參數設定!$C$18,0))</f>
        <v/>
      </c>
      <c r="J42" s="45" t="str">
        <f aca="false">IF($A42="","",IF(IF(員工清單!T42="","居住者",員工清單!T42)="非居住者","併當月薪資依6%/18%",IF(N($F42)&gt;=參數設定!$C$21,ROUND($F42*參數設定!$C$23,0),0)))</f>
        <v/>
      </c>
      <c r="K42" s="45" t="str">
        <f aca="false">IF($A42="","",IF(ISNUMBER($J42),N($F42)-$I42-$J42,"—"))</f>
        <v/>
      </c>
    </row>
    <row r="43" customFormat="false" ht="15" hidden="false" customHeight="true" outlineLevel="0" collapsed="false">
      <c r="A43" s="66" t="str">
        <f aca="false">IF(員工清單!A43="","",員工清單!A43)</f>
        <v/>
      </c>
      <c r="B43" s="66" t="str">
        <f aca="false">IF($A43="","",員工清單!B43)</f>
        <v/>
      </c>
      <c r="C43" s="45" t="str">
        <f aca="false">IF($A43="","",員工清單!L43)</f>
        <v/>
      </c>
      <c r="D43" s="45" t="str">
        <f aca="false">IF($A43="","",$C43*4)</f>
        <v/>
      </c>
      <c r="E43" s="33"/>
      <c r="F43" s="33"/>
      <c r="G43" s="45" t="str">
        <f aca="false">IF($A43="","",N($E43)+N($F43))</f>
        <v/>
      </c>
      <c r="H43" s="45" t="str">
        <f aca="false">IF($A43="","",MAX(0,$G43-$D43)-MAX(0,N($E43)-$D43))</f>
        <v/>
      </c>
      <c r="I43" s="45" t="str">
        <f aca="false">IF($A43="","",ROUND($H43*參數設定!$C$18,0))</f>
        <v/>
      </c>
      <c r="J43" s="45" t="str">
        <f aca="false">IF($A43="","",IF(IF(員工清單!T43="","居住者",員工清單!T43)="非居住者","併當月薪資依6%/18%",IF(N($F43)&gt;=參數設定!$C$21,ROUND($F43*參數設定!$C$23,0),0)))</f>
        <v/>
      </c>
      <c r="K43" s="45" t="str">
        <f aca="false">IF($A43="","",IF(ISNUMBER($J43),N($F43)-$I43-$J43,"—"))</f>
        <v/>
      </c>
    </row>
    <row r="44" customFormat="false" ht="15" hidden="false" customHeight="true" outlineLevel="0" collapsed="false">
      <c r="A44" s="66" t="str">
        <f aca="false">IF(員工清單!A44="","",員工清單!A44)</f>
        <v/>
      </c>
      <c r="B44" s="66" t="str">
        <f aca="false">IF($A44="","",員工清單!B44)</f>
        <v/>
      </c>
      <c r="C44" s="45" t="str">
        <f aca="false">IF($A44="","",員工清單!L44)</f>
        <v/>
      </c>
      <c r="D44" s="45" t="str">
        <f aca="false">IF($A44="","",$C44*4)</f>
        <v/>
      </c>
      <c r="E44" s="33"/>
      <c r="F44" s="33"/>
      <c r="G44" s="45" t="str">
        <f aca="false">IF($A44="","",N($E44)+N($F44))</f>
        <v/>
      </c>
      <c r="H44" s="45" t="str">
        <f aca="false">IF($A44="","",MAX(0,$G44-$D44)-MAX(0,N($E44)-$D44))</f>
        <v/>
      </c>
      <c r="I44" s="45" t="str">
        <f aca="false">IF($A44="","",ROUND($H44*參數設定!$C$18,0))</f>
        <v/>
      </c>
      <c r="J44" s="45" t="str">
        <f aca="false">IF($A44="","",IF(IF(員工清單!T44="","居住者",員工清單!T44)="非居住者","併當月薪資依6%/18%",IF(N($F44)&gt;=參數設定!$C$21,ROUND($F44*參數設定!$C$23,0),0)))</f>
        <v/>
      </c>
      <c r="K44" s="45" t="str">
        <f aca="false">IF($A44="","",IF(ISNUMBER($J44),N($F44)-$I44-$J44,"—"))</f>
        <v/>
      </c>
    </row>
    <row r="45" customFormat="false" ht="15" hidden="false" customHeight="true" outlineLevel="0" collapsed="false">
      <c r="A45" s="66" t="str">
        <f aca="false">IF(員工清單!A45="","",員工清單!A45)</f>
        <v/>
      </c>
      <c r="B45" s="66" t="str">
        <f aca="false">IF($A45="","",員工清單!B45)</f>
        <v/>
      </c>
      <c r="C45" s="45" t="str">
        <f aca="false">IF($A45="","",員工清單!L45)</f>
        <v/>
      </c>
      <c r="D45" s="45" t="str">
        <f aca="false">IF($A45="","",$C45*4)</f>
        <v/>
      </c>
      <c r="E45" s="33"/>
      <c r="F45" s="33"/>
      <c r="G45" s="45" t="str">
        <f aca="false">IF($A45="","",N($E45)+N($F45))</f>
        <v/>
      </c>
      <c r="H45" s="45" t="str">
        <f aca="false">IF($A45="","",MAX(0,$G45-$D45)-MAX(0,N($E45)-$D45))</f>
        <v/>
      </c>
      <c r="I45" s="45" t="str">
        <f aca="false">IF($A45="","",ROUND($H45*參數設定!$C$18,0))</f>
        <v/>
      </c>
      <c r="J45" s="45" t="str">
        <f aca="false">IF($A45="","",IF(IF(員工清單!T45="","居住者",員工清單!T45)="非居住者","併當月薪資依6%/18%",IF(N($F45)&gt;=參數設定!$C$21,ROUND($F45*參數設定!$C$23,0),0)))</f>
        <v/>
      </c>
      <c r="K45" s="45" t="str">
        <f aca="false">IF($A45="","",IF(ISNUMBER($J45),N($F45)-$I45-$J45,"—"))</f>
        <v/>
      </c>
    </row>
    <row r="46" customFormat="false" ht="15" hidden="false" customHeight="true" outlineLevel="0" collapsed="false">
      <c r="A46" s="66" t="str">
        <f aca="false">IF(員工清單!A46="","",員工清單!A46)</f>
        <v/>
      </c>
      <c r="B46" s="66" t="str">
        <f aca="false">IF($A46="","",員工清單!B46)</f>
        <v/>
      </c>
      <c r="C46" s="45" t="str">
        <f aca="false">IF($A46="","",員工清單!L46)</f>
        <v/>
      </c>
      <c r="D46" s="45" t="str">
        <f aca="false">IF($A46="","",$C46*4)</f>
        <v/>
      </c>
      <c r="E46" s="33"/>
      <c r="F46" s="33"/>
      <c r="G46" s="45" t="str">
        <f aca="false">IF($A46="","",N($E46)+N($F46))</f>
        <v/>
      </c>
      <c r="H46" s="45" t="str">
        <f aca="false">IF($A46="","",MAX(0,$G46-$D46)-MAX(0,N($E46)-$D46))</f>
        <v/>
      </c>
      <c r="I46" s="45" t="str">
        <f aca="false">IF($A46="","",ROUND($H46*參數設定!$C$18,0))</f>
        <v/>
      </c>
      <c r="J46" s="45" t="str">
        <f aca="false">IF($A46="","",IF(IF(員工清單!T46="","居住者",員工清單!T46)="非居住者","併當月薪資依6%/18%",IF(N($F46)&gt;=參數設定!$C$21,ROUND($F46*參數設定!$C$23,0),0)))</f>
        <v/>
      </c>
      <c r="K46" s="45" t="str">
        <f aca="false">IF($A46="","",IF(ISNUMBER($J46),N($F46)-$I46-$J46,"—"))</f>
        <v/>
      </c>
    </row>
    <row r="47" customFormat="false" ht="15" hidden="false" customHeight="true" outlineLevel="0" collapsed="false">
      <c r="A47" s="66" t="str">
        <f aca="false">IF(員工清單!A47="","",員工清單!A47)</f>
        <v/>
      </c>
      <c r="B47" s="66" t="str">
        <f aca="false">IF($A47="","",員工清單!B47)</f>
        <v/>
      </c>
      <c r="C47" s="45" t="str">
        <f aca="false">IF($A47="","",員工清單!L47)</f>
        <v/>
      </c>
      <c r="D47" s="45" t="str">
        <f aca="false">IF($A47="","",$C47*4)</f>
        <v/>
      </c>
      <c r="E47" s="33"/>
      <c r="F47" s="33"/>
      <c r="G47" s="45" t="str">
        <f aca="false">IF($A47="","",N($E47)+N($F47))</f>
        <v/>
      </c>
      <c r="H47" s="45" t="str">
        <f aca="false">IF($A47="","",MAX(0,$G47-$D47)-MAX(0,N($E47)-$D47))</f>
        <v/>
      </c>
      <c r="I47" s="45" t="str">
        <f aca="false">IF($A47="","",ROUND($H47*參數設定!$C$18,0))</f>
        <v/>
      </c>
      <c r="J47" s="45" t="str">
        <f aca="false">IF($A47="","",IF(IF(員工清單!T47="","居住者",員工清單!T47)="非居住者","併當月薪資依6%/18%",IF(N($F47)&gt;=參數設定!$C$21,ROUND($F47*參數設定!$C$23,0),0)))</f>
        <v/>
      </c>
      <c r="K47" s="45" t="str">
        <f aca="false">IF($A47="","",IF(ISNUMBER($J47),N($F47)-$I47-$J47,"—"))</f>
        <v/>
      </c>
    </row>
    <row r="48" customFormat="false" ht="15" hidden="false" customHeight="true" outlineLevel="0" collapsed="false">
      <c r="A48" s="66" t="str">
        <f aca="false">IF(員工清單!A48="","",員工清單!A48)</f>
        <v/>
      </c>
      <c r="B48" s="66" t="str">
        <f aca="false">IF($A48="","",員工清單!B48)</f>
        <v/>
      </c>
      <c r="C48" s="45" t="str">
        <f aca="false">IF($A48="","",員工清單!L48)</f>
        <v/>
      </c>
      <c r="D48" s="45" t="str">
        <f aca="false">IF($A48="","",$C48*4)</f>
        <v/>
      </c>
      <c r="E48" s="33"/>
      <c r="F48" s="33"/>
      <c r="G48" s="45" t="str">
        <f aca="false">IF($A48="","",N($E48)+N($F48))</f>
        <v/>
      </c>
      <c r="H48" s="45" t="str">
        <f aca="false">IF($A48="","",MAX(0,$G48-$D48)-MAX(0,N($E48)-$D48))</f>
        <v/>
      </c>
      <c r="I48" s="45" t="str">
        <f aca="false">IF($A48="","",ROUND($H48*參數設定!$C$18,0))</f>
        <v/>
      </c>
      <c r="J48" s="45" t="str">
        <f aca="false">IF($A48="","",IF(IF(員工清單!T48="","居住者",員工清單!T48)="非居住者","併當月薪資依6%/18%",IF(N($F48)&gt;=參數設定!$C$21,ROUND($F48*參數設定!$C$23,0),0)))</f>
        <v/>
      </c>
      <c r="K48" s="45" t="str">
        <f aca="false">IF($A48="","",IF(ISNUMBER($J48),N($F48)-$I48-$J48,"—"))</f>
        <v/>
      </c>
    </row>
    <row r="49" customFormat="false" ht="15" hidden="false" customHeight="true" outlineLevel="0" collapsed="false">
      <c r="A49" s="66" t="str">
        <f aca="false">IF(員工清單!A49="","",員工清單!A49)</f>
        <v/>
      </c>
      <c r="B49" s="66" t="str">
        <f aca="false">IF($A49="","",員工清單!B49)</f>
        <v/>
      </c>
      <c r="C49" s="45" t="str">
        <f aca="false">IF($A49="","",員工清單!L49)</f>
        <v/>
      </c>
      <c r="D49" s="45" t="str">
        <f aca="false">IF($A49="","",$C49*4)</f>
        <v/>
      </c>
      <c r="E49" s="33"/>
      <c r="F49" s="33"/>
      <c r="G49" s="45" t="str">
        <f aca="false">IF($A49="","",N($E49)+N($F49))</f>
        <v/>
      </c>
      <c r="H49" s="45" t="str">
        <f aca="false">IF($A49="","",MAX(0,$G49-$D49)-MAX(0,N($E49)-$D49))</f>
        <v/>
      </c>
      <c r="I49" s="45" t="str">
        <f aca="false">IF($A49="","",ROUND($H49*參數設定!$C$18,0))</f>
        <v/>
      </c>
      <c r="J49" s="45" t="str">
        <f aca="false">IF($A49="","",IF(IF(員工清單!T49="","居住者",員工清單!T49)="非居住者","併當月薪資依6%/18%",IF(N($F49)&gt;=參數設定!$C$21,ROUND($F49*參數設定!$C$23,0),0)))</f>
        <v/>
      </c>
      <c r="K49" s="45" t="str">
        <f aca="false">IF($A49="","",IF(ISNUMBER($J49),N($F49)-$I49-$J49,"—"))</f>
        <v/>
      </c>
    </row>
    <row r="50" customFormat="false" ht="15" hidden="false" customHeight="true" outlineLevel="0" collapsed="false">
      <c r="A50" s="66" t="str">
        <f aca="false">IF(員工清單!A50="","",員工清單!A50)</f>
        <v/>
      </c>
      <c r="B50" s="66" t="str">
        <f aca="false">IF($A50="","",員工清單!B50)</f>
        <v/>
      </c>
      <c r="C50" s="45" t="str">
        <f aca="false">IF($A50="","",員工清單!L50)</f>
        <v/>
      </c>
      <c r="D50" s="45" t="str">
        <f aca="false">IF($A50="","",$C50*4)</f>
        <v/>
      </c>
      <c r="E50" s="33"/>
      <c r="F50" s="33"/>
      <c r="G50" s="45" t="str">
        <f aca="false">IF($A50="","",N($E50)+N($F50))</f>
        <v/>
      </c>
      <c r="H50" s="45" t="str">
        <f aca="false">IF($A50="","",MAX(0,$G50-$D50)-MAX(0,N($E50)-$D50))</f>
        <v/>
      </c>
      <c r="I50" s="45" t="str">
        <f aca="false">IF($A50="","",ROUND($H50*參數設定!$C$18,0))</f>
        <v/>
      </c>
      <c r="J50" s="45" t="str">
        <f aca="false">IF($A50="","",IF(IF(員工清單!T50="","居住者",員工清單!T50)="非居住者","併當月薪資依6%/18%",IF(N($F50)&gt;=參數設定!$C$21,ROUND($F50*參數設定!$C$23,0),0)))</f>
        <v/>
      </c>
      <c r="K50" s="45" t="str">
        <f aca="false">IF($A50="","",IF(ISNUMBER($J50),N($F50)-$I50-$J50,"—"))</f>
        <v/>
      </c>
    </row>
    <row r="51" customFormat="false" ht="15" hidden="false" customHeight="true" outlineLevel="0" collapsed="false">
      <c r="A51" s="66" t="str">
        <f aca="false">IF(員工清單!A51="","",員工清單!A51)</f>
        <v/>
      </c>
      <c r="B51" s="66" t="str">
        <f aca="false">IF($A51="","",員工清單!B51)</f>
        <v/>
      </c>
      <c r="C51" s="45" t="str">
        <f aca="false">IF($A51="","",員工清單!L51)</f>
        <v/>
      </c>
      <c r="D51" s="45" t="str">
        <f aca="false">IF($A51="","",$C51*4)</f>
        <v/>
      </c>
      <c r="E51" s="33"/>
      <c r="F51" s="33"/>
      <c r="G51" s="45" t="str">
        <f aca="false">IF($A51="","",N($E51)+N($F51))</f>
        <v/>
      </c>
      <c r="H51" s="45" t="str">
        <f aca="false">IF($A51="","",MAX(0,$G51-$D51)-MAX(0,N($E51)-$D51))</f>
        <v/>
      </c>
      <c r="I51" s="45" t="str">
        <f aca="false">IF($A51="","",ROUND($H51*參數設定!$C$18,0))</f>
        <v/>
      </c>
      <c r="J51" s="45" t="str">
        <f aca="false">IF($A51="","",IF(IF(員工清單!T51="","居住者",員工清單!T51)="非居住者","併當月薪資依6%/18%",IF(N($F51)&gt;=參數設定!$C$21,ROUND($F51*參數設定!$C$23,0),0)))</f>
        <v/>
      </c>
      <c r="K51" s="45" t="str">
        <f aca="false">IF($A51="","",IF(ISNUMBER($J51),N($F51)-$I51-$J51,"—"))</f>
        <v/>
      </c>
    </row>
    <row r="52" customFormat="false" ht="15" hidden="false" customHeight="true" outlineLevel="0" collapsed="false">
      <c r="A52" s="66" t="str">
        <f aca="false">IF(員工清單!A52="","",員工清單!A52)</f>
        <v/>
      </c>
      <c r="B52" s="66" t="str">
        <f aca="false">IF($A52="","",員工清單!B52)</f>
        <v/>
      </c>
      <c r="C52" s="45" t="str">
        <f aca="false">IF($A52="","",員工清單!L52)</f>
        <v/>
      </c>
      <c r="D52" s="45" t="str">
        <f aca="false">IF($A52="","",$C52*4)</f>
        <v/>
      </c>
      <c r="E52" s="33"/>
      <c r="F52" s="33"/>
      <c r="G52" s="45" t="str">
        <f aca="false">IF($A52="","",N($E52)+N($F52))</f>
        <v/>
      </c>
      <c r="H52" s="45" t="str">
        <f aca="false">IF($A52="","",MAX(0,$G52-$D52)-MAX(0,N($E52)-$D52))</f>
        <v/>
      </c>
      <c r="I52" s="45" t="str">
        <f aca="false">IF($A52="","",ROUND($H52*參數設定!$C$18,0))</f>
        <v/>
      </c>
      <c r="J52" s="45" t="str">
        <f aca="false">IF($A52="","",IF(IF(員工清單!T52="","居住者",員工清單!T52)="非居住者","併當月薪資依6%/18%",IF(N($F52)&gt;=參數設定!$C$21,ROUND($F52*參數設定!$C$23,0),0)))</f>
        <v/>
      </c>
      <c r="K52" s="45" t="str">
        <f aca="false">IF($A52="","",IF(ISNUMBER($J52),N($F52)-$I52-$J52,"—"))</f>
        <v/>
      </c>
    </row>
    <row r="53" customFormat="false" ht="15" hidden="false" customHeight="true" outlineLevel="0" collapsed="false">
      <c r="A53" s="66" t="str">
        <f aca="false">IF(員工清單!A53="","",員工清單!A53)</f>
        <v/>
      </c>
      <c r="B53" s="66" t="str">
        <f aca="false">IF($A53="","",員工清單!B53)</f>
        <v/>
      </c>
      <c r="C53" s="45" t="str">
        <f aca="false">IF($A53="","",員工清單!L53)</f>
        <v/>
      </c>
      <c r="D53" s="45" t="str">
        <f aca="false">IF($A53="","",$C53*4)</f>
        <v/>
      </c>
      <c r="E53" s="33"/>
      <c r="F53" s="33"/>
      <c r="G53" s="45" t="str">
        <f aca="false">IF($A53="","",N($E53)+N($F53))</f>
        <v/>
      </c>
      <c r="H53" s="45" t="str">
        <f aca="false">IF($A53="","",MAX(0,$G53-$D53)-MAX(0,N($E53)-$D53))</f>
        <v/>
      </c>
      <c r="I53" s="45" t="str">
        <f aca="false">IF($A53="","",ROUND($H53*參數設定!$C$18,0))</f>
        <v/>
      </c>
      <c r="J53" s="45" t="str">
        <f aca="false">IF($A53="","",IF(IF(員工清單!T53="","居住者",員工清單!T53)="非居住者","併當月薪資依6%/18%",IF(N($F53)&gt;=參數設定!$C$21,ROUND($F53*參數設定!$C$23,0),0)))</f>
        <v/>
      </c>
      <c r="K53" s="45" t="str">
        <f aca="false">IF($A53="","",IF(ISNUMBER($J53),N($F53)-$I53-$J53,"—"))</f>
        <v/>
      </c>
    </row>
    <row r="54" customFormat="false" ht="15" hidden="false" customHeight="true" outlineLevel="0" collapsed="false">
      <c r="B54" s="5" t="s">
        <v>591</v>
      </c>
      <c r="F54" s="87" t="n">
        <f aca="false">SUM(F4:F53)</f>
        <v>1145000</v>
      </c>
      <c r="I54" s="87" t="n">
        <f aca="false">SUM(I4:I53)</f>
        <v>312</v>
      </c>
      <c r="J54" s="87" t="n">
        <f aca="false">SUM(J4:J53)</f>
        <v>46800</v>
      </c>
      <c r="K54" s="87" t="n">
        <f aca="false">SUM(K4:K53)</f>
        <v>1031888</v>
      </c>
    </row>
    <row r="56" customFormat="false" ht="15" hidden="false" customHeight="true" outlineLevel="0" collapsed="false">
      <c r="A56" s="13" t="s">
        <v>606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customFormat="false" ht="15" hidden="false" customHeight="true" outlineLevel="0" collapsed="false">
      <c r="A57" s="13" t="s">
        <v>607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customFormat="false" ht="15" hidden="false" customHeight="true" outlineLevel="0" collapsed="false">
      <c r="A58" s="13" t="s">
        <v>608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customFormat="false" ht="15" hidden="false" customHeight="true" outlineLevel="0" collapsed="false">
      <c r="A59" s="13" t="s">
        <v>609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</row>
  </sheetData>
  <mergeCells count="6">
    <mergeCell ref="A1:K1"/>
    <mergeCell ref="F2:K2"/>
    <mergeCell ref="A56:K56"/>
    <mergeCell ref="A57:K57"/>
    <mergeCell ref="A58:K58"/>
    <mergeCell ref="A59:K59"/>
  </mergeCells>
  <dataValidations count="1">
    <dataValidation allowBlank="true" errorStyle="stop" operator="between" showDropDown="false" showErrorMessage="false" showInputMessage="false" sqref="B2" type="list">
      <formula1>"年終獎金,端午節獎金,中秋節獎金,績效獎金,其他"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8"/>
    <col collapsed="false" customWidth="true" hidden="false" outlineLevel="0" max="7" min="3" style="1" width="13"/>
    <col collapsed="false" customWidth="true" hidden="false" outlineLevel="0" max="8" min="8" style="1" width="14"/>
  </cols>
  <sheetData>
    <row r="1" customFormat="false" ht="25.5" hidden="false" customHeight="true" outlineLevel="0" collapsed="false">
      <c r="A1" s="12" t="s">
        <v>610</v>
      </c>
      <c r="B1" s="12"/>
      <c r="C1" s="12"/>
      <c r="D1" s="12"/>
      <c r="E1" s="12"/>
      <c r="F1" s="12"/>
      <c r="G1" s="12"/>
      <c r="H1" s="12"/>
    </row>
    <row r="2" customFormat="false" ht="26.25" hidden="false" customHeight="true" outlineLevel="0" collapsed="false">
      <c r="A2" s="5" t="s">
        <v>611</v>
      </c>
      <c r="B2" s="88" t="str">
        <f aca="false">薪資總表!B1</f>
        <v>115年01月</v>
      </c>
      <c r="C2" s="13" t="s">
        <v>612</v>
      </c>
      <c r="D2" s="13"/>
      <c r="E2" s="13"/>
      <c r="F2" s="13"/>
      <c r="G2" s="13"/>
      <c r="H2" s="13"/>
    </row>
    <row r="4" customFormat="false" ht="16.5" hidden="false" customHeight="true" outlineLevel="0" collapsed="false">
      <c r="A4" s="89" t="s">
        <v>613</v>
      </c>
      <c r="B4" s="89"/>
      <c r="C4" s="89"/>
      <c r="D4" s="89"/>
      <c r="E4" s="89"/>
      <c r="F4" s="89"/>
      <c r="G4" s="89"/>
      <c r="H4" s="89"/>
    </row>
    <row r="5" customFormat="false" ht="15" hidden="false" customHeight="true" outlineLevel="0" collapsed="false">
      <c r="A5" s="86" t="s">
        <v>614</v>
      </c>
      <c r="B5" s="17" t="s">
        <v>615</v>
      </c>
      <c r="C5" s="17" t="s">
        <v>190</v>
      </c>
      <c r="D5" s="17" t="s">
        <v>616</v>
      </c>
      <c r="E5" s="17" t="s">
        <v>617</v>
      </c>
      <c r="F5" s="17" t="s">
        <v>216</v>
      </c>
      <c r="G5" s="17" t="s">
        <v>618</v>
      </c>
      <c r="H5" s="17" t="s">
        <v>590</v>
      </c>
    </row>
    <row r="6" customFormat="false" ht="15" hidden="false" customHeight="true" outlineLevel="0" collapsed="false">
      <c r="A6" s="90" t="s">
        <v>483</v>
      </c>
      <c r="B6" s="45" t="n">
        <f aca="false">IF($A6="","",COUNTIFS(員工清單!$C$4:$C$53,$A6,員工清單!$A$4:$A$53,"&lt;&gt;"))</f>
        <v>2</v>
      </c>
      <c r="C6" s="45" t="n">
        <f aca="false">IF($A6="","",SUMIF(員工清單!$C$4:$C$53,$A6,薪資總表!M$4:M$53))</f>
        <v>149717</v>
      </c>
      <c r="D6" s="45" t="n">
        <f aca="false">IF($A6="","",SUMIF(員工清單!$C$4:$C$53,$A6,薪資總表!J$4:J$53))</f>
        <v>6717</v>
      </c>
      <c r="E6" s="45" t="n">
        <f aca="false">IF($A6="","",SUMIF(員工清單!$C$4:$C$53,$A6,薪資總表!L$4:L$53))</f>
        <v>0</v>
      </c>
      <c r="F6" s="45" t="n">
        <f aca="false">IF($A6="","",SUMIF(員工清單!$C$4:$C$53,$A6,薪資總表!Y$4:Y$53))</f>
        <v>131559</v>
      </c>
      <c r="G6" s="45" t="n">
        <f aca="false">IF($A6="","",SUMIF(員工清單!$C$4:$C$53,$A6,薪資總表!AD$4:AD$53))</f>
        <v>24241</v>
      </c>
      <c r="H6" s="45" t="n">
        <f aca="false">IF($A6="","",SUMIF(員工清單!$C$4:$C$53,$A6,薪資總表!AE$4:AE$53))</f>
        <v>173958</v>
      </c>
    </row>
    <row r="7" customFormat="false" ht="15" hidden="false" customHeight="true" outlineLevel="0" collapsed="false">
      <c r="A7" s="90" t="s">
        <v>491</v>
      </c>
      <c r="B7" s="45" t="n">
        <f aca="false">IF($A7="","",COUNTIFS(員工清單!$C$4:$C$53,$A7,員工清單!$A$4:$A$53,"&lt;&gt;"))</f>
        <v>1</v>
      </c>
      <c r="C7" s="45" t="n">
        <f aca="false">IF($A7="","",SUMIF(員工清單!$C$4:$C$53,$A7,薪資總表!M$4:M$53))</f>
        <v>37200</v>
      </c>
      <c r="D7" s="45" t="n">
        <f aca="false">IF($A7="","",SUMIF(員工清單!$C$4:$C$53,$A7,薪資總表!J$4:J$53))</f>
        <v>1200</v>
      </c>
      <c r="E7" s="45" t="n">
        <f aca="false">IF($A7="","",SUMIF(員工清單!$C$4:$C$53,$A7,薪資總表!L$4:L$53))</f>
        <v>0</v>
      </c>
      <c r="F7" s="45" t="n">
        <f aca="false">IF($A7="","",SUMIF(員工清單!$C$4:$C$53,$A7,薪資總表!Y$4:Y$53))</f>
        <v>35729</v>
      </c>
      <c r="G7" s="45" t="n">
        <f aca="false">IF($A7="","",SUMIF(員工清單!$C$4:$C$53,$A7,薪資總表!AD$4:AD$53))</f>
        <v>7187</v>
      </c>
      <c r="H7" s="45" t="n">
        <f aca="false">IF($A7="","",SUMIF(員工清單!$C$4:$C$53,$A7,薪資總表!AE$4:AE$53))</f>
        <v>44387</v>
      </c>
    </row>
    <row r="8" customFormat="false" ht="15" hidden="false" customHeight="true" outlineLevel="0" collapsed="false">
      <c r="A8" s="90" t="s">
        <v>497</v>
      </c>
      <c r="B8" s="45" t="n">
        <f aca="false">IF($A8="","",COUNTIFS(員工清單!$C$4:$C$53,$A8,員工清單!$A$4:$A$53,"&lt;&gt;"))</f>
        <v>1</v>
      </c>
      <c r="C8" s="45" t="n">
        <f aca="false">IF($A8="","",SUMIF(員工清單!$C$4:$C$53,$A8,薪資總表!M$4:M$53))</f>
        <v>135000</v>
      </c>
      <c r="D8" s="45" t="n">
        <f aca="false">IF($A8="","",SUMIF(員工清單!$C$4:$C$53,$A8,薪資總表!J$4:J$53))</f>
        <v>0</v>
      </c>
      <c r="E8" s="45" t="n">
        <f aca="false">IF($A8="","",SUMIF(員工清單!$C$4:$C$53,$A8,薪資總表!L$4:L$53))</f>
        <v>50000</v>
      </c>
      <c r="F8" s="45" t="n">
        <f aca="false">IF($A8="","",SUMIF(員工清單!$C$4:$C$53,$A8,薪資總表!Y$4:Y$53))</f>
        <v>127150</v>
      </c>
      <c r="G8" s="45" t="n">
        <f aca="false">IF($A8="","",SUMIF(員工清單!$C$4:$C$53,$A8,薪資總表!AD$4:AD$53))</f>
        <v>13655</v>
      </c>
      <c r="H8" s="45" t="n">
        <f aca="false">IF($A8="","",SUMIF(員工清單!$C$4:$C$53,$A8,薪資總表!AE$4:AE$53))</f>
        <v>148655</v>
      </c>
    </row>
    <row r="9" customFormat="false" ht="15" hidden="false" customHeight="true" outlineLevel="0" collapsed="false">
      <c r="A9" s="90" t="s">
        <v>503</v>
      </c>
      <c r="B9" s="45" t="n">
        <f aca="false">IF($A9="","",COUNTIFS(員工清單!$C$4:$C$53,$A9,員工清單!$A$4:$A$53,"&lt;&gt;"))</f>
        <v>1</v>
      </c>
      <c r="C9" s="45" t="n">
        <f aca="false">IF($A9="","",SUMIF(員工清單!$C$4:$C$53,$A9,薪資總表!M$4:M$53))</f>
        <v>42000</v>
      </c>
      <c r="D9" s="45" t="n">
        <f aca="false">IF($A9="","",SUMIF(員工清單!$C$4:$C$53,$A9,薪資總表!J$4:J$53))</f>
        <v>0</v>
      </c>
      <c r="E9" s="45" t="n">
        <f aca="false">IF($A9="","",SUMIF(員工清單!$C$4:$C$53,$A9,薪資總表!L$4:L$53))</f>
        <v>0</v>
      </c>
      <c r="F9" s="45" t="n">
        <f aca="false">IF($A9="","",SUMIF(員工清單!$C$4:$C$53,$A9,薪資總表!Y$4:Y$53))</f>
        <v>39599</v>
      </c>
      <c r="G9" s="45" t="n">
        <f aca="false">IF($A9="","",SUMIF(員工清單!$C$4:$C$53,$A9,薪資總表!AD$4:AD$53))</f>
        <v>8315</v>
      </c>
      <c r="H9" s="45" t="n">
        <f aca="false">IF($A9="","",SUMIF(員工清單!$C$4:$C$53,$A9,薪資總表!AE$4:AE$53))</f>
        <v>50315</v>
      </c>
    </row>
    <row r="10" customFormat="false" ht="15" hidden="false" customHeight="true" outlineLevel="0" collapsed="false">
      <c r="A10" s="90" t="s">
        <v>510</v>
      </c>
      <c r="B10" s="45" t="n">
        <f aca="false">IF($A10="","",COUNTIFS(員工清單!$C$4:$C$53,$A10,員工清單!$A$4:$A$53,"&lt;&gt;"))</f>
        <v>1</v>
      </c>
      <c r="C10" s="45" t="n">
        <f aca="false">IF($A10="","",SUMIF(員工清單!$C$4:$C$53,$A10,薪資總表!M$4:M$53))</f>
        <v>33000</v>
      </c>
      <c r="D10" s="45" t="n">
        <f aca="false">IF($A10="","",SUMIF(員工清單!$C$4:$C$53,$A10,薪資總表!J$4:J$53))</f>
        <v>0</v>
      </c>
      <c r="E10" s="45" t="n">
        <f aca="false">IF($A10="","",SUMIF(員工清單!$C$4:$C$53,$A10,薪資總表!L$4:L$53))</f>
        <v>0</v>
      </c>
      <c r="F10" s="45" t="n">
        <f aca="false">IF($A10="","",SUMIF(員工清單!$C$4:$C$53,$A10,薪資總表!Y$4:Y$53))</f>
        <v>31651</v>
      </c>
      <c r="G10" s="45" t="n">
        <f aca="false">IF($A10="","",SUMIF(員工清單!$C$4:$C$53,$A10,薪資總表!AD$4:AD$53))</f>
        <v>6593</v>
      </c>
      <c r="H10" s="45" t="n">
        <f aca="false">IF($A10="","",SUMIF(員工清單!$C$4:$C$53,$A10,薪資總表!AE$4:AE$53))</f>
        <v>39593</v>
      </c>
    </row>
    <row r="11" customFormat="false" ht="15" hidden="false" customHeight="true" outlineLevel="0" collapsed="false">
      <c r="A11" s="90" t="s">
        <v>515</v>
      </c>
      <c r="B11" s="45" t="n">
        <f aca="false">IF($A11="","",COUNTIFS(員工清單!$C$4:$C$53,$A11,員工清單!$A$4:$A$53,"&lt;&gt;"))</f>
        <v>1</v>
      </c>
      <c r="C11" s="45" t="n">
        <f aca="false">IF($A11="","",SUMIF(員工清單!$C$4:$C$53,$A11,薪資總表!M$4:M$53))</f>
        <v>29500</v>
      </c>
      <c r="D11" s="45" t="n">
        <f aca="false">IF($A11="","",SUMIF(員工清單!$C$4:$C$53,$A11,薪資總表!J$4:J$53))</f>
        <v>0</v>
      </c>
      <c r="E11" s="45" t="n">
        <f aca="false">IF($A11="","",SUMIF(員工清單!$C$4:$C$53,$A11,薪資總表!L$4:L$53))</f>
        <v>0</v>
      </c>
      <c r="F11" s="45" t="n">
        <f aca="false">IF($A11="","",SUMIF(員工清單!$C$4:$C$53,$A11,薪資總表!Y$4:Y$53))</f>
        <v>24963</v>
      </c>
      <c r="G11" s="45" t="n">
        <f aca="false">IF($A11="","",SUMIF(員工清單!$C$4:$C$53,$A11,薪資總表!AD$4:AD$53))</f>
        <v>5841</v>
      </c>
      <c r="H11" s="45" t="n">
        <f aca="false">IF($A11="","",SUMIF(員工清單!$C$4:$C$53,$A11,薪資總表!AE$4:AE$53))</f>
        <v>35341</v>
      </c>
    </row>
    <row r="12" customFormat="false" ht="15" hidden="false" customHeight="true" outlineLevel="0" collapsed="false">
      <c r="A12" s="90" t="s">
        <v>520</v>
      </c>
      <c r="B12" s="45" t="n">
        <f aca="false">IF($A12="","",COUNTIFS(員工清單!$C$4:$C$53,$A12,員工清單!$A$4:$A$53,"&lt;&gt;"))</f>
        <v>1</v>
      </c>
      <c r="C12" s="45" t="n">
        <f aca="false">IF($A12="","",SUMIF(員工清單!$C$4:$C$53,$A12,薪資總表!M$4:M$53))</f>
        <v>260000</v>
      </c>
      <c r="D12" s="45" t="n">
        <f aca="false">IF($A12="","",SUMIF(員工清單!$C$4:$C$53,$A12,薪資總表!J$4:J$53))</f>
        <v>0</v>
      </c>
      <c r="E12" s="45" t="n">
        <f aca="false">IF($A12="","",SUMIF(員工清單!$C$4:$C$53,$A12,薪資總表!L$4:L$53))</f>
        <v>100000</v>
      </c>
      <c r="F12" s="45" t="n">
        <f aca="false">IF($A12="","",SUMIF(員工清單!$C$4:$C$53,$A12,薪資總表!Y$4:Y$53))</f>
        <v>231775</v>
      </c>
      <c r="G12" s="45" t="n">
        <f aca="false">IF($A12="","",SUMIF(員工清單!$C$4:$C$53,$A12,薪資總表!AD$4:AD$53))</f>
        <v>21038</v>
      </c>
      <c r="H12" s="45" t="n">
        <f aca="false">IF($A12="","",SUMIF(員工清單!$C$4:$C$53,$A12,薪資總表!AE$4:AE$53))</f>
        <v>281038</v>
      </c>
    </row>
    <row r="13" customFormat="false" ht="15" hidden="false" customHeight="true" outlineLevel="0" collapsed="false">
      <c r="A13" s="90"/>
      <c r="B13" s="45" t="str">
        <f aca="false">IF($A13="","",COUNTIFS(員工清單!$C$4:$C$53,$A13,員工清單!$A$4:$A$53,"&lt;&gt;"))</f>
        <v/>
      </c>
      <c r="C13" s="45" t="str">
        <f aca="false">IF($A13="","",SUMIF(員工清單!$C$4:$C$53,$A13,薪資總表!M$4:M$53))</f>
        <v/>
      </c>
      <c r="D13" s="45" t="str">
        <f aca="false">IF($A13="","",SUMIF(員工清單!$C$4:$C$53,$A13,薪資總表!J$4:J$53))</f>
        <v/>
      </c>
      <c r="E13" s="45" t="str">
        <f aca="false">IF($A13="","",SUMIF(員工清單!$C$4:$C$53,$A13,薪資總表!L$4:L$53))</f>
        <v/>
      </c>
      <c r="F13" s="45" t="str">
        <f aca="false">IF($A13="","",SUMIF(員工清單!$C$4:$C$53,$A13,薪資總表!Y$4:Y$53))</f>
        <v/>
      </c>
      <c r="G13" s="45" t="str">
        <f aca="false">IF($A13="","",SUMIF(員工清單!$C$4:$C$53,$A13,薪資總表!AD$4:AD$53))</f>
        <v/>
      </c>
      <c r="H13" s="45" t="str">
        <f aca="false">IF($A13="","",SUMIF(員工清單!$C$4:$C$53,$A13,薪資總表!AE$4:AE$53))</f>
        <v/>
      </c>
    </row>
    <row r="14" customFormat="false" ht="15" hidden="false" customHeight="true" outlineLevel="0" collapsed="false">
      <c r="A14" s="91" t="s">
        <v>619</v>
      </c>
      <c r="B14" s="45" t="n">
        <f aca="false">COUNTIF(員工清單!$A$4:$A$53,"&lt;&gt;")-SUM(B6:B13)</f>
        <v>0</v>
      </c>
      <c r="C14" s="45" t="n">
        <f aca="false">薪資總表!M$54-SUM(C6:C13)</f>
        <v>0</v>
      </c>
      <c r="D14" s="45" t="n">
        <f aca="false">薪資總表!J$54-SUM(D6:D13)</f>
        <v>0</v>
      </c>
      <c r="E14" s="45" t="n">
        <f aca="false">薪資總表!L$54-SUM(E6:E13)</f>
        <v>0</v>
      </c>
      <c r="F14" s="45" t="n">
        <f aca="false">薪資總表!Y$54-SUM(F6:F13)</f>
        <v>0</v>
      </c>
      <c r="G14" s="45" t="n">
        <f aca="false">薪資總表!AD$54-SUM(G6:G13)</f>
        <v>0</v>
      </c>
      <c r="H14" s="45" t="n">
        <f aca="false">薪資總表!AE$54-SUM(H6:H13)</f>
        <v>0</v>
      </c>
    </row>
    <row r="15" customFormat="false" ht="15" hidden="false" customHeight="true" outlineLevel="0" collapsed="false">
      <c r="A15" s="92" t="s">
        <v>620</v>
      </c>
      <c r="B15" s="93" t="n">
        <f aca="false">SUM(B6:B14)</f>
        <v>8</v>
      </c>
      <c r="C15" s="93" t="n">
        <f aca="false">SUM(C6:C14)</f>
        <v>686417</v>
      </c>
      <c r="D15" s="93" t="n">
        <f aca="false">SUM(D6:D14)</f>
        <v>7917</v>
      </c>
      <c r="E15" s="93" t="n">
        <f aca="false">SUM(E6:E14)</f>
        <v>150000</v>
      </c>
      <c r="F15" s="93" t="n">
        <f aca="false">SUM(F6:F14)</f>
        <v>622426</v>
      </c>
      <c r="G15" s="93" t="n">
        <f aca="false">SUM(G6:G14)</f>
        <v>86870</v>
      </c>
      <c r="H15" s="93" t="n">
        <f aca="false">SUM(H6:H14)</f>
        <v>773287</v>
      </c>
    </row>
    <row r="17" customFormat="false" ht="16.5" hidden="false" customHeight="true" outlineLevel="0" collapsed="false">
      <c r="A17" s="89" t="s">
        <v>621</v>
      </c>
      <c r="B17" s="89"/>
      <c r="C17" s="89"/>
      <c r="D17" s="89"/>
      <c r="E17" s="89"/>
      <c r="F17" s="89"/>
      <c r="G17" s="89"/>
      <c r="H17" s="89"/>
    </row>
    <row r="18" customFormat="false" ht="15" hidden="false" customHeight="true" outlineLevel="0" collapsed="false">
      <c r="A18" s="86" t="s">
        <v>614</v>
      </c>
      <c r="B18" s="17" t="s">
        <v>615</v>
      </c>
      <c r="C18" s="17" t="s">
        <v>190</v>
      </c>
      <c r="D18" s="17" t="s">
        <v>616</v>
      </c>
      <c r="E18" s="17" t="s">
        <v>617</v>
      </c>
      <c r="F18" s="17" t="s">
        <v>216</v>
      </c>
      <c r="G18" s="17" t="s">
        <v>618</v>
      </c>
      <c r="H18" s="17" t="s">
        <v>590</v>
      </c>
    </row>
    <row r="19" customFormat="false" ht="15" hidden="false" customHeight="true" outlineLevel="0" collapsed="false">
      <c r="A19" s="94" t="s">
        <v>493</v>
      </c>
      <c r="B19" s="45" t="n">
        <f aca="false">IF($A19="","",COUNTIFS(員工清單!$R$4:$R$53,$A19,員工清單!$A$4:$A$53,"&lt;&gt;"))</f>
        <v>4</v>
      </c>
      <c r="C19" s="45" t="n">
        <f aca="false">IF($A19="","",SUMIF(員工清單!$R$4:$R$53,$A19,薪資總表!M$4:M$53))</f>
        <v>372200</v>
      </c>
      <c r="D19" s="45" t="n">
        <f aca="false">IF($A19="","",SUMIF(員工清單!$R$4:$R$53,$A19,薪資總表!J$4:J$53))</f>
        <v>1200</v>
      </c>
      <c r="E19" s="45" t="n">
        <f aca="false">IF($A19="","",SUMIF(員工清單!$R$4:$R$53,$A19,薪資總表!L$4:L$53))</f>
        <v>100000</v>
      </c>
      <c r="F19" s="45" t="n">
        <f aca="false">IF($A19="","",SUMIF(員工清單!$R$4:$R$53,$A19,薪資總表!Y$4:Y$53))</f>
        <v>338754</v>
      </c>
      <c r="G19" s="45" t="n">
        <f aca="false">IF($A19="","",SUMIF(員工清單!$R$4:$R$53,$A19,薪資總表!AD$4:AD$53))</f>
        <v>43133</v>
      </c>
      <c r="H19" s="45" t="n">
        <f aca="false">IF($A19="","",SUMIF(員工清單!$R$4:$R$53,$A19,薪資總表!AE$4:AE$53))</f>
        <v>415333</v>
      </c>
    </row>
    <row r="20" customFormat="false" ht="15" hidden="false" customHeight="true" outlineLevel="0" collapsed="false">
      <c r="A20" s="94" t="s">
        <v>499</v>
      </c>
      <c r="B20" s="45" t="n">
        <f aca="false">IF($A20="","",COUNTIFS(員工清單!$R$4:$R$53,$A20,員工清單!$A$4:$A$53,"&lt;&gt;"))</f>
        <v>2</v>
      </c>
      <c r="C20" s="45" t="n">
        <f aca="false">IF($A20="","",SUMIF(員工清單!$R$4:$R$53,$A20,薪資總表!M$4:M$53))</f>
        <v>164500</v>
      </c>
      <c r="D20" s="45" t="n">
        <f aca="false">IF($A20="","",SUMIF(員工清單!$R$4:$R$53,$A20,薪資總表!J$4:J$53))</f>
        <v>0</v>
      </c>
      <c r="E20" s="45" t="n">
        <f aca="false">IF($A20="","",SUMIF(員工清單!$R$4:$R$53,$A20,薪資總表!L$4:L$53))</f>
        <v>50000</v>
      </c>
      <c r="F20" s="45" t="n">
        <f aca="false">IF($A20="","",SUMIF(員工清單!$R$4:$R$53,$A20,薪資總表!Y$4:Y$53))</f>
        <v>152113</v>
      </c>
      <c r="G20" s="45" t="n">
        <f aca="false">IF($A20="","",SUMIF(員工清單!$R$4:$R$53,$A20,薪資總表!AD$4:AD$53))</f>
        <v>19496</v>
      </c>
      <c r="H20" s="45" t="n">
        <f aca="false">IF($A20="","",SUMIF(員工清單!$R$4:$R$53,$A20,薪資總表!AE$4:AE$53))</f>
        <v>183996</v>
      </c>
    </row>
    <row r="21" customFormat="false" ht="15" hidden="false" customHeight="true" outlineLevel="0" collapsed="false">
      <c r="A21" s="94" t="s">
        <v>485</v>
      </c>
      <c r="B21" s="45" t="n">
        <f aca="false">IF($A21="","",COUNTIFS(員工清單!$R$4:$R$53,$A21,員工清單!$A$4:$A$53,"&lt;&gt;"))</f>
        <v>2</v>
      </c>
      <c r="C21" s="45" t="n">
        <f aca="false">IF($A21="","",SUMIF(員工清單!$R$4:$R$53,$A21,薪資總表!M$4:M$53))</f>
        <v>149717</v>
      </c>
      <c r="D21" s="45" t="n">
        <f aca="false">IF($A21="","",SUMIF(員工清單!$R$4:$R$53,$A21,薪資總表!J$4:J$53))</f>
        <v>6717</v>
      </c>
      <c r="E21" s="45" t="n">
        <f aca="false">IF($A21="","",SUMIF(員工清單!$R$4:$R$53,$A21,薪資總表!L$4:L$53))</f>
        <v>0</v>
      </c>
      <c r="F21" s="45" t="n">
        <f aca="false">IF($A21="","",SUMIF(員工清單!$R$4:$R$53,$A21,薪資總表!Y$4:Y$53))</f>
        <v>131559</v>
      </c>
      <c r="G21" s="45" t="n">
        <f aca="false">IF($A21="","",SUMIF(員工清單!$R$4:$R$53,$A21,薪資總表!AD$4:AD$53))</f>
        <v>24241</v>
      </c>
      <c r="H21" s="45" t="n">
        <f aca="false">IF($A21="","",SUMIF(員工清單!$R$4:$R$53,$A21,薪資總表!AE$4:AE$53))</f>
        <v>173958</v>
      </c>
    </row>
    <row r="22" customFormat="false" ht="15" hidden="false" customHeight="true" outlineLevel="0" collapsed="false">
      <c r="A22" s="94"/>
      <c r="B22" s="45" t="str">
        <f aca="false">IF($A22="","",COUNTIFS(員工清單!$R$4:$R$53,$A22,員工清單!$A$4:$A$53,"&lt;&gt;"))</f>
        <v/>
      </c>
      <c r="C22" s="45" t="str">
        <f aca="false">IF($A22="","",SUMIF(員工清單!$R$4:$R$53,$A22,薪資總表!M$4:M$53))</f>
        <v/>
      </c>
      <c r="D22" s="45" t="str">
        <f aca="false">IF($A22="","",SUMIF(員工清單!$R$4:$R$53,$A22,薪資總表!J$4:J$53))</f>
        <v/>
      </c>
      <c r="E22" s="45" t="str">
        <f aca="false">IF($A22="","",SUMIF(員工清單!$R$4:$R$53,$A22,薪資總表!L$4:L$53))</f>
        <v/>
      </c>
      <c r="F22" s="45" t="str">
        <f aca="false">IF($A22="","",SUMIF(員工清單!$R$4:$R$53,$A22,薪資總表!Y$4:Y$53))</f>
        <v/>
      </c>
      <c r="G22" s="45" t="str">
        <f aca="false">IF($A22="","",SUMIF(員工清單!$R$4:$R$53,$A22,薪資總表!AD$4:AD$53))</f>
        <v/>
      </c>
      <c r="H22" s="45" t="str">
        <f aca="false">IF($A22="","",SUMIF(員工清單!$R$4:$R$53,$A22,薪資總表!AE$4:AE$53))</f>
        <v/>
      </c>
    </row>
    <row r="23" customFormat="false" ht="15" hidden="false" customHeight="true" outlineLevel="0" collapsed="false">
      <c r="A23" s="94"/>
      <c r="B23" s="45" t="str">
        <f aca="false">IF($A23="","",COUNTIFS(員工清單!$R$4:$R$53,$A23,員工清單!$A$4:$A$53,"&lt;&gt;"))</f>
        <v/>
      </c>
      <c r="C23" s="45" t="str">
        <f aca="false">IF($A23="","",SUMIF(員工清單!$R$4:$R$53,$A23,薪資總表!M$4:M$53))</f>
        <v/>
      </c>
      <c r="D23" s="45" t="str">
        <f aca="false">IF($A23="","",SUMIF(員工清單!$R$4:$R$53,$A23,薪資總表!J$4:J$53))</f>
        <v/>
      </c>
      <c r="E23" s="45" t="str">
        <f aca="false">IF($A23="","",SUMIF(員工清單!$R$4:$R$53,$A23,薪資總表!L$4:L$53))</f>
        <v/>
      </c>
      <c r="F23" s="45" t="str">
        <f aca="false">IF($A23="","",SUMIF(員工清單!$R$4:$R$53,$A23,薪資總表!Y$4:Y$53))</f>
        <v/>
      </c>
      <c r="G23" s="45" t="str">
        <f aca="false">IF($A23="","",SUMIF(員工清單!$R$4:$R$53,$A23,薪資總表!AD$4:AD$53))</f>
        <v/>
      </c>
      <c r="H23" s="45" t="str">
        <f aca="false">IF($A23="","",SUMIF(員工清單!$R$4:$R$53,$A23,薪資總表!AE$4:AE$53))</f>
        <v/>
      </c>
    </row>
    <row r="24" customFormat="false" ht="15" hidden="false" customHeight="true" outlineLevel="0" collapsed="false">
      <c r="A24" s="94"/>
      <c r="B24" s="45" t="str">
        <f aca="false">IF($A24="","",COUNTIFS(員工清單!$R$4:$R$53,$A24,員工清單!$A$4:$A$53,"&lt;&gt;"))</f>
        <v/>
      </c>
      <c r="C24" s="45" t="str">
        <f aca="false">IF($A24="","",SUMIF(員工清單!$R$4:$R$53,$A24,薪資總表!M$4:M$53))</f>
        <v/>
      </c>
      <c r="D24" s="45" t="str">
        <f aca="false">IF($A24="","",SUMIF(員工清單!$R$4:$R$53,$A24,薪資總表!J$4:J$53))</f>
        <v/>
      </c>
      <c r="E24" s="45" t="str">
        <f aca="false">IF($A24="","",SUMIF(員工清單!$R$4:$R$53,$A24,薪資總表!L$4:L$53))</f>
        <v/>
      </c>
      <c r="F24" s="45" t="str">
        <f aca="false">IF($A24="","",SUMIF(員工清單!$R$4:$R$53,$A24,薪資總表!Y$4:Y$53))</f>
        <v/>
      </c>
      <c r="G24" s="45" t="str">
        <f aca="false">IF($A24="","",SUMIF(員工清單!$R$4:$R$53,$A24,薪資總表!AD$4:AD$53))</f>
        <v/>
      </c>
      <c r="H24" s="45" t="str">
        <f aca="false">IF($A24="","",SUMIF(員工清單!$R$4:$R$53,$A24,薪資總表!AE$4:AE$53))</f>
        <v/>
      </c>
    </row>
    <row r="25" customFormat="false" ht="15" hidden="false" customHeight="true" outlineLevel="0" collapsed="false">
      <c r="A25" s="94"/>
      <c r="B25" s="45" t="str">
        <f aca="false">IF($A25="","",COUNTIFS(員工清單!$R$4:$R$53,$A25,員工清單!$A$4:$A$53,"&lt;&gt;"))</f>
        <v/>
      </c>
      <c r="C25" s="45" t="str">
        <f aca="false">IF($A25="","",SUMIF(員工清單!$R$4:$R$53,$A25,薪資總表!M$4:M$53))</f>
        <v/>
      </c>
      <c r="D25" s="45" t="str">
        <f aca="false">IF($A25="","",SUMIF(員工清單!$R$4:$R$53,$A25,薪資總表!J$4:J$53))</f>
        <v/>
      </c>
      <c r="E25" s="45" t="str">
        <f aca="false">IF($A25="","",SUMIF(員工清單!$R$4:$R$53,$A25,薪資總表!L$4:L$53))</f>
        <v/>
      </c>
      <c r="F25" s="45" t="str">
        <f aca="false">IF($A25="","",SUMIF(員工清單!$R$4:$R$53,$A25,薪資總表!Y$4:Y$53))</f>
        <v/>
      </c>
      <c r="G25" s="45" t="str">
        <f aca="false">IF($A25="","",SUMIF(員工清單!$R$4:$R$53,$A25,薪資總表!AD$4:AD$53))</f>
        <v/>
      </c>
      <c r="H25" s="45" t="str">
        <f aca="false">IF($A25="","",SUMIF(員工清單!$R$4:$R$53,$A25,薪資總表!AE$4:AE$53))</f>
        <v/>
      </c>
    </row>
    <row r="26" customFormat="false" ht="15" hidden="false" customHeight="true" outlineLevel="0" collapsed="false">
      <c r="A26" s="94"/>
      <c r="B26" s="45" t="str">
        <f aca="false">IF($A26="","",COUNTIFS(員工清單!$R$4:$R$53,$A26,員工清單!$A$4:$A$53,"&lt;&gt;"))</f>
        <v/>
      </c>
      <c r="C26" s="45" t="str">
        <f aca="false">IF($A26="","",SUMIF(員工清單!$R$4:$R$53,$A26,薪資總表!M$4:M$53))</f>
        <v/>
      </c>
      <c r="D26" s="45" t="str">
        <f aca="false">IF($A26="","",SUMIF(員工清單!$R$4:$R$53,$A26,薪資總表!J$4:J$53))</f>
        <v/>
      </c>
      <c r="E26" s="45" t="str">
        <f aca="false">IF($A26="","",SUMIF(員工清單!$R$4:$R$53,$A26,薪資總表!L$4:L$53))</f>
        <v/>
      </c>
      <c r="F26" s="45" t="str">
        <f aca="false">IF($A26="","",SUMIF(員工清單!$R$4:$R$53,$A26,薪資總表!Y$4:Y$53))</f>
        <v/>
      </c>
      <c r="G26" s="45" t="str">
        <f aca="false">IF($A26="","",SUMIF(員工清單!$R$4:$R$53,$A26,薪資總表!AD$4:AD$53))</f>
        <v/>
      </c>
      <c r="H26" s="45" t="str">
        <f aca="false">IF($A26="","",SUMIF(員工清單!$R$4:$R$53,$A26,薪資總表!AE$4:AE$53))</f>
        <v/>
      </c>
    </row>
    <row r="27" customFormat="false" ht="15" hidden="false" customHeight="true" outlineLevel="0" collapsed="false">
      <c r="A27" s="91" t="s">
        <v>619</v>
      </c>
      <c r="B27" s="45" t="n">
        <f aca="false">COUNTIF(員工清單!$A$4:$A$53,"&lt;&gt;")-SUM(B19:B26)</f>
        <v>0</v>
      </c>
      <c r="C27" s="45" t="n">
        <f aca="false">薪資總表!M$54-SUM(C19:C26)</f>
        <v>0</v>
      </c>
      <c r="D27" s="45" t="n">
        <f aca="false">薪資總表!J$54-SUM(D19:D26)</f>
        <v>0</v>
      </c>
      <c r="E27" s="45" t="n">
        <f aca="false">薪資總表!L$54-SUM(E19:E26)</f>
        <v>0</v>
      </c>
      <c r="F27" s="45" t="n">
        <f aca="false">薪資總表!Y$54-SUM(F19:F26)</f>
        <v>0</v>
      </c>
      <c r="G27" s="45" t="n">
        <f aca="false">薪資總表!AD$54-SUM(G19:G26)</f>
        <v>0</v>
      </c>
      <c r="H27" s="45" t="n">
        <f aca="false">薪資總表!AE$54-SUM(H19:H26)</f>
        <v>0</v>
      </c>
    </row>
    <row r="28" customFormat="false" ht="15" hidden="false" customHeight="true" outlineLevel="0" collapsed="false">
      <c r="A28" s="92" t="s">
        <v>620</v>
      </c>
      <c r="B28" s="93" t="n">
        <f aca="false">SUM(B19:B27)</f>
        <v>8</v>
      </c>
      <c r="C28" s="93" t="n">
        <f aca="false">SUM(C19:C27)</f>
        <v>686417</v>
      </c>
      <c r="D28" s="93" t="n">
        <f aca="false">SUM(D19:D27)</f>
        <v>7917</v>
      </c>
      <c r="E28" s="93" t="n">
        <f aca="false">SUM(E19:E27)</f>
        <v>150000</v>
      </c>
      <c r="F28" s="93" t="n">
        <f aca="false">SUM(F19:F27)</f>
        <v>622426</v>
      </c>
      <c r="G28" s="93" t="n">
        <f aca="false">SUM(G19:G27)</f>
        <v>86870</v>
      </c>
      <c r="H28" s="93" t="n">
        <f aca="false">SUM(H19:H27)</f>
        <v>773287</v>
      </c>
    </row>
    <row r="30" customFormat="false" ht="16.5" hidden="false" customHeight="true" outlineLevel="0" collapsed="false">
      <c r="A30" s="89" t="s">
        <v>622</v>
      </c>
      <c r="B30" s="89"/>
      <c r="C30" s="89"/>
      <c r="D30" s="89"/>
      <c r="E30" s="89"/>
      <c r="F30" s="89"/>
      <c r="G30" s="89"/>
      <c r="H30" s="89"/>
    </row>
    <row r="31" customFormat="false" ht="15" hidden="false" customHeight="true" outlineLevel="0" collapsed="false">
      <c r="A31" s="86" t="s">
        <v>614</v>
      </c>
      <c r="B31" s="17" t="s">
        <v>615</v>
      </c>
      <c r="C31" s="17" t="s">
        <v>190</v>
      </c>
      <c r="D31" s="17" t="s">
        <v>616</v>
      </c>
      <c r="E31" s="17" t="s">
        <v>617</v>
      </c>
      <c r="F31" s="17" t="s">
        <v>216</v>
      </c>
      <c r="G31" s="17" t="s">
        <v>618</v>
      </c>
      <c r="H31" s="17" t="s">
        <v>590</v>
      </c>
    </row>
    <row r="32" customFormat="false" ht="15" hidden="false" customHeight="true" outlineLevel="0" collapsed="false">
      <c r="A32" s="94" t="s">
        <v>486</v>
      </c>
      <c r="B32" s="45" t="n">
        <f aca="false">IF($A32="","",COUNTIFS(員工清單!$S$4:$S$53,$A32,員工清單!$A$4:$A$53,"&lt;&gt;"))</f>
        <v>3</v>
      </c>
      <c r="C32" s="45" t="n">
        <f aca="false">IF($A32="","",SUMIF(員工清單!$S$4:$S$53,$A32,薪資總表!M$4:M$53))</f>
        <v>409717</v>
      </c>
      <c r="D32" s="45" t="n">
        <f aca="false">IF($A32="","",SUMIF(員工清單!$S$4:$S$53,$A32,薪資總表!J$4:J$53))</f>
        <v>6717</v>
      </c>
      <c r="E32" s="45" t="n">
        <f aca="false">IF($A32="","",SUMIF(員工清單!$S$4:$S$53,$A32,薪資總表!L$4:L$53))</f>
        <v>100000</v>
      </c>
      <c r="F32" s="45" t="n">
        <f aca="false">IF($A32="","",SUMIF(員工清單!$S$4:$S$53,$A32,薪資總表!Y$4:Y$53))</f>
        <v>363334</v>
      </c>
      <c r="G32" s="45" t="n">
        <f aca="false">IF($A32="","",SUMIF(員工清單!$S$4:$S$53,$A32,薪資總表!AD$4:AD$53))</f>
        <v>45279</v>
      </c>
      <c r="H32" s="45" t="n">
        <f aca="false">IF($A32="","",SUMIF(員工清單!$S$4:$S$53,$A32,薪資總表!AE$4:AE$53))</f>
        <v>454996</v>
      </c>
    </row>
    <row r="33" customFormat="false" ht="15" hidden="false" customHeight="true" outlineLevel="0" collapsed="false">
      <c r="A33" s="94" t="s">
        <v>500</v>
      </c>
      <c r="B33" s="45" t="n">
        <f aca="false">IF($A33="","",COUNTIFS(員工清單!$S$4:$S$53,$A33,員工清單!$A$4:$A$53,"&lt;&gt;"))</f>
        <v>2</v>
      </c>
      <c r="C33" s="45" t="n">
        <f aca="false">IF($A33="","",SUMIF(員工清單!$S$4:$S$53,$A33,薪資總表!M$4:M$53))</f>
        <v>164500</v>
      </c>
      <c r="D33" s="45" t="n">
        <f aca="false">IF($A33="","",SUMIF(員工清單!$S$4:$S$53,$A33,薪資總表!J$4:J$53))</f>
        <v>0</v>
      </c>
      <c r="E33" s="45" t="n">
        <f aca="false">IF($A33="","",SUMIF(員工清單!$S$4:$S$53,$A33,薪資總表!L$4:L$53))</f>
        <v>50000</v>
      </c>
      <c r="F33" s="45" t="n">
        <f aca="false">IF($A33="","",SUMIF(員工清單!$S$4:$S$53,$A33,薪資總表!Y$4:Y$53))</f>
        <v>152113</v>
      </c>
      <c r="G33" s="45" t="n">
        <f aca="false">IF($A33="","",SUMIF(員工清單!$S$4:$S$53,$A33,薪資總表!AD$4:AD$53))</f>
        <v>19496</v>
      </c>
      <c r="H33" s="45" t="n">
        <f aca="false">IF($A33="","",SUMIF(員工清單!$S$4:$S$53,$A33,薪資總表!AE$4:AE$53))</f>
        <v>183996</v>
      </c>
    </row>
    <row r="34" customFormat="false" ht="15" hidden="false" customHeight="true" outlineLevel="0" collapsed="false">
      <c r="A34" s="94"/>
      <c r="B34" s="45" t="str">
        <f aca="false">IF($A34="","",COUNTIFS(員工清單!$S$4:$S$53,$A34,員工清單!$A$4:$A$53,"&lt;&gt;"))</f>
        <v/>
      </c>
      <c r="C34" s="45" t="str">
        <f aca="false">IF($A34="","",SUMIF(員工清單!$S$4:$S$53,$A34,薪資總表!M$4:M$53))</f>
        <v/>
      </c>
      <c r="D34" s="45" t="str">
        <f aca="false">IF($A34="","",SUMIF(員工清單!$S$4:$S$53,$A34,薪資總表!J$4:J$53))</f>
        <v/>
      </c>
      <c r="E34" s="45" t="str">
        <f aca="false">IF($A34="","",SUMIF(員工清單!$S$4:$S$53,$A34,薪資總表!L$4:L$53))</f>
        <v/>
      </c>
      <c r="F34" s="45" t="str">
        <f aca="false">IF($A34="","",SUMIF(員工清單!$S$4:$S$53,$A34,薪資總表!Y$4:Y$53))</f>
        <v/>
      </c>
      <c r="G34" s="45" t="str">
        <f aca="false">IF($A34="","",SUMIF(員工清單!$S$4:$S$53,$A34,薪資總表!AD$4:AD$53))</f>
        <v/>
      </c>
      <c r="H34" s="45" t="str">
        <f aca="false">IF($A34="","",SUMIF(員工清單!$S$4:$S$53,$A34,薪資總表!AE$4:AE$53))</f>
        <v/>
      </c>
    </row>
    <row r="35" customFormat="false" ht="15" hidden="false" customHeight="true" outlineLevel="0" collapsed="false">
      <c r="A35" s="94"/>
      <c r="B35" s="45" t="str">
        <f aca="false">IF($A35="","",COUNTIFS(員工清單!$S$4:$S$53,$A35,員工清單!$A$4:$A$53,"&lt;&gt;"))</f>
        <v/>
      </c>
      <c r="C35" s="45" t="str">
        <f aca="false">IF($A35="","",SUMIF(員工清單!$S$4:$S$53,$A35,薪資總表!M$4:M$53))</f>
        <v/>
      </c>
      <c r="D35" s="45" t="str">
        <f aca="false">IF($A35="","",SUMIF(員工清單!$S$4:$S$53,$A35,薪資總表!J$4:J$53))</f>
        <v/>
      </c>
      <c r="E35" s="45" t="str">
        <f aca="false">IF($A35="","",SUMIF(員工清單!$S$4:$S$53,$A35,薪資總表!L$4:L$53))</f>
        <v/>
      </c>
      <c r="F35" s="45" t="str">
        <f aca="false">IF($A35="","",SUMIF(員工清單!$S$4:$S$53,$A35,薪資總表!Y$4:Y$53))</f>
        <v/>
      </c>
      <c r="G35" s="45" t="str">
        <f aca="false">IF($A35="","",SUMIF(員工清單!$S$4:$S$53,$A35,薪資總表!AD$4:AD$53))</f>
        <v/>
      </c>
      <c r="H35" s="45" t="str">
        <f aca="false">IF($A35="","",SUMIF(員工清單!$S$4:$S$53,$A35,薪資總表!AE$4:AE$53))</f>
        <v/>
      </c>
    </row>
    <row r="36" customFormat="false" ht="15" hidden="false" customHeight="true" outlineLevel="0" collapsed="false">
      <c r="A36" s="94"/>
      <c r="B36" s="45" t="str">
        <f aca="false">IF($A36="","",COUNTIFS(員工清單!$S$4:$S$53,$A36,員工清單!$A$4:$A$53,"&lt;&gt;"))</f>
        <v/>
      </c>
      <c r="C36" s="45" t="str">
        <f aca="false">IF($A36="","",SUMIF(員工清單!$S$4:$S$53,$A36,薪資總表!M$4:M$53))</f>
        <v/>
      </c>
      <c r="D36" s="45" t="str">
        <f aca="false">IF($A36="","",SUMIF(員工清單!$S$4:$S$53,$A36,薪資總表!J$4:J$53))</f>
        <v/>
      </c>
      <c r="E36" s="45" t="str">
        <f aca="false">IF($A36="","",SUMIF(員工清單!$S$4:$S$53,$A36,薪資總表!L$4:L$53))</f>
        <v/>
      </c>
      <c r="F36" s="45" t="str">
        <f aca="false">IF($A36="","",SUMIF(員工清單!$S$4:$S$53,$A36,薪資總表!Y$4:Y$53))</f>
        <v/>
      </c>
      <c r="G36" s="45" t="str">
        <f aca="false">IF($A36="","",SUMIF(員工清單!$S$4:$S$53,$A36,薪資總表!AD$4:AD$53))</f>
        <v/>
      </c>
      <c r="H36" s="45" t="str">
        <f aca="false">IF($A36="","",SUMIF(員工清單!$S$4:$S$53,$A36,薪資總表!AE$4:AE$53))</f>
        <v/>
      </c>
    </row>
    <row r="37" customFormat="false" ht="15" hidden="false" customHeight="true" outlineLevel="0" collapsed="false">
      <c r="A37" s="94"/>
      <c r="B37" s="45" t="str">
        <f aca="false">IF($A37="","",COUNTIFS(員工清單!$S$4:$S$53,$A37,員工清單!$A$4:$A$53,"&lt;&gt;"))</f>
        <v/>
      </c>
      <c r="C37" s="45" t="str">
        <f aca="false">IF($A37="","",SUMIF(員工清單!$S$4:$S$53,$A37,薪資總表!M$4:M$53))</f>
        <v/>
      </c>
      <c r="D37" s="45" t="str">
        <f aca="false">IF($A37="","",SUMIF(員工清單!$S$4:$S$53,$A37,薪資總表!J$4:J$53))</f>
        <v/>
      </c>
      <c r="E37" s="45" t="str">
        <f aca="false">IF($A37="","",SUMIF(員工清單!$S$4:$S$53,$A37,薪資總表!L$4:L$53))</f>
        <v/>
      </c>
      <c r="F37" s="45" t="str">
        <f aca="false">IF($A37="","",SUMIF(員工清單!$S$4:$S$53,$A37,薪資總表!Y$4:Y$53))</f>
        <v/>
      </c>
      <c r="G37" s="45" t="str">
        <f aca="false">IF($A37="","",SUMIF(員工清單!$S$4:$S$53,$A37,薪資總表!AD$4:AD$53))</f>
        <v/>
      </c>
      <c r="H37" s="45" t="str">
        <f aca="false">IF($A37="","",SUMIF(員工清單!$S$4:$S$53,$A37,薪資總表!AE$4:AE$53))</f>
        <v/>
      </c>
    </row>
    <row r="38" customFormat="false" ht="15" hidden="false" customHeight="true" outlineLevel="0" collapsed="false">
      <c r="A38" s="94"/>
      <c r="B38" s="45" t="str">
        <f aca="false">IF($A38="","",COUNTIFS(員工清單!$S$4:$S$53,$A38,員工清單!$A$4:$A$53,"&lt;&gt;"))</f>
        <v/>
      </c>
      <c r="C38" s="45" t="str">
        <f aca="false">IF($A38="","",SUMIF(員工清單!$S$4:$S$53,$A38,薪資總表!M$4:M$53))</f>
        <v/>
      </c>
      <c r="D38" s="45" t="str">
        <f aca="false">IF($A38="","",SUMIF(員工清單!$S$4:$S$53,$A38,薪資總表!J$4:J$53))</f>
        <v/>
      </c>
      <c r="E38" s="45" t="str">
        <f aca="false">IF($A38="","",SUMIF(員工清單!$S$4:$S$53,$A38,薪資總表!L$4:L$53))</f>
        <v/>
      </c>
      <c r="F38" s="45" t="str">
        <f aca="false">IF($A38="","",SUMIF(員工清單!$S$4:$S$53,$A38,薪資總表!Y$4:Y$53))</f>
        <v/>
      </c>
      <c r="G38" s="45" t="str">
        <f aca="false">IF($A38="","",SUMIF(員工清單!$S$4:$S$53,$A38,薪資總表!AD$4:AD$53))</f>
        <v/>
      </c>
      <c r="H38" s="45" t="str">
        <f aca="false">IF($A38="","",SUMIF(員工清單!$S$4:$S$53,$A38,薪資總表!AE$4:AE$53))</f>
        <v/>
      </c>
    </row>
    <row r="39" customFormat="false" ht="15" hidden="false" customHeight="true" outlineLevel="0" collapsed="false">
      <c r="A39" s="94"/>
      <c r="B39" s="45" t="str">
        <f aca="false">IF($A39="","",COUNTIFS(員工清單!$S$4:$S$53,$A39,員工清單!$A$4:$A$53,"&lt;&gt;"))</f>
        <v/>
      </c>
      <c r="C39" s="45" t="str">
        <f aca="false">IF($A39="","",SUMIF(員工清單!$S$4:$S$53,$A39,薪資總表!M$4:M$53))</f>
        <v/>
      </c>
      <c r="D39" s="45" t="str">
        <f aca="false">IF($A39="","",SUMIF(員工清單!$S$4:$S$53,$A39,薪資總表!J$4:J$53))</f>
        <v/>
      </c>
      <c r="E39" s="45" t="str">
        <f aca="false">IF($A39="","",SUMIF(員工清單!$S$4:$S$53,$A39,薪資總表!L$4:L$53))</f>
        <v/>
      </c>
      <c r="F39" s="45" t="str">
        <f aca="false">IF($A39="","",SUMIF(員工清單!$S$4:$S$53,$A39,薪資總表!Y$4:Y$53))</f>
        <v/>
      </c>
      <c r="G39" s="45" t="str">
        <f aca="false">IF($A39="","",SUMIF(員工清單!$S$4:$S$53,$A39,薪資總表!AD$4:AD$53))</f>
        <v/>
      </c>
      <c r="H39" s="45" t="str">
        <f aca="false">IF($A39="","",SUMIF(員工清單!$S$4:$S$53,$A39,薪資總表!AE$4:AE$53))</f>
        <v/>
      </c>
    </row>
    <row r="40" customFormat="false" ht="15" hidden="false" customHeight="true" outlineLevel="0" collapsed="false">
      <c r="A40" s="91" t="s">
        <v>619</v>
      </c>
      <c r="B40" s="45" t="n">
        <f aca="false">COUNTIF(員工清單!$A$4:$A$53,"&lt;&gt;")-SUM(B32:B39)</f>
        <v>3</v>
      </c>
      <c r="C40" s="45" t="n">
        <f aca="false">薪資總表!M$54-SUM(C32:C39)</f>
        <v>112200</v>
      </c>
      <c r="D40" s="45" t="n">
        <f aca="false">薪資總表!J$54-SUM(D32:D39)</f>
        <v>1200</v>
      </c>
      <c r="E40" s="45" t="n">
        <f aca="false">薪資總表!L$54-SUM(E32:E39)</f>
        <v>0</v>
      </c>
      <c r="F40" s="45" t="n">
        <f aca="false">薪資總表!Y$54-SUM(F32:F39)</f>
        <v>106979</v>
      </c>
      <c r="G40" s="45" t="n">
        <f aca="false">薪資總表!AD$54-SUM(G32:G39)</f>
        <v>22095</v>
      </c>
      <c r="H40" s="45" t="n">
        <f aca="false">薪資總表!AE$54-SUM(H32:H39)</f>
        <v>134295</v>
      </c>
    </row>
    <row r="41" customFormat="false" ht="15" hidden="false" customHeight="true" outlineLevel="0" collapsed="false">
      <c r="A41" s="92" t="s">
        <v>620</v>
      </c>
      <c r="B41" s="93" t="n">
        <f aca="false">SUM(B32:B40)</f>
        <v>8</v>
      </c>
      <c r="C41" s="93" t="n">
        <f aca="false">SUM(C32:C40)</f>
        <v>686417</v>
      </c>
      <c r="D41" s="93" t="n">
        <f aca="false">SUM(D32:D40)</f>
        <v>7917</v>
      </c>
      <c r="E41" s="93" t="n">
        <f aca="false">SUM(E32:E40)</f>
        <v>150000</v>
      </c>
      <c r="F41" s="93" t="n">
        <f aca="false">SUM(F32:F40)</f>
        <v>622426</v>
      </c>
      <c r="G41" s="93" t="n">
        <f aca="false">SUM(G32:G40)</f>
        <v>86870</v>
      </c>
      <c r="H41" s="93" t="n">
        <f aca="false">SUM(H32:H40)</f>
        <v>773287</v>
      </c>
    </row>
    <row r="43" customFormat="false" ht="15" hidden="false" customHeight="true" outlineLevel="0" collapsed="false">
      <c r="A43" s="5" t="s">
        <v>623</v>
      </c>
      <c r="B43" s="95" t="n">
        <f aca="false">COUNTIF(員工清單!$A$4:$A$53,"&lt;&gt;")</f>
        <v>8</v>
      </c>
      <c r="C43" s="95" t="n">
        <f aca="false">薪資總表!M$54</f>
        <v>686417</v>
      </c>
      <c r="D43" s="95" t="n">
        <f aca="false">薪資總表!J$54</f>
        <v>7917</v>
      </c>
      <c r="E43" s="95" t="n">
        <f aca="false">薪資總表!L$54</f>
        <v>150000</v>
      </c>
      <c r="F43" s="95" t="n">
        <f aca="false">薪資總表!Y$54</f>
        <v>622426</v>
      </c>
      <c r="G43" s="95" t="n">
        <f aca="false">薪資總表!AD$54</f>
        <v>86870</v>
      </c>
      <c r="H43" s="95" t="n">
        <f aca="false">薪資總表!AE$54</f>
        <v>773287</v>
      </c>
    </row>
  </sheetData>
  <mergeCells count="5">
    <mergeCell ref="A1:H1"/>
    <mergeCell ref="C2:H2"/>
    <mergeCell ref="A4:H4"/>
    <mergeCell ref="A17:H17"/>
    <mergeCell ref="A30:H30"/>
  </mergeCells>
  <conditionalFormatting sqref="B14:H14">
    <cfRule type="cellIs" priority="2" operator="greaterThan" aboveAverage="0" equalAverage="0" bottom="0" percent="0" rank="0" text="" dxfId="1">
      <formula>0</formula>
    </cfRule>
  </conditionalFormatting>
  <conditionalFormatting sqref="B27:H27">
    <cfRule type="cellIs" priority="3" operator="greaterThan" aboveAverage="0" equalAverage="0" bottom="0" percent="0" rank="0" text="" dxfId="1">
      <formula>0</formula>
    </cfRule>
  </conditionalFormatting>
  <conditionalFormatting sqref="B40:H40">
    <cfRule type="cellIs" priority="4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1"/>
    <col collapsed="false" customWidth="true" hidden="false" outlineLevel="0" max="3" min="3" style="1" width="5"/>
    <col collapsed="false" customWidth="true" hidden="false" outlineLevel="0" max="4" min="4" style="1" width="22"/>
    <col collapsed="false" customWidth="true" hidden="false" outlineLevel="0" max="7" min="5" style="1" width="9"/>
  </cols>
  <sheetData>
    <row r="1" customFormat="false" ht="19.5" hidden="false" customHeight="true" outlineLevel="0" collapsed="false">
      <c r="A1" s="96" t="s">
        <v>624</v>
      </c>
      <c r="B1" s="96"/>
      <c r="C1" s="96"/>
      <c r="D1" s="96"/>
      <c r="E1" s="96"/>
      <c r="F1" s="96"/>
      <c r="G1" s="96"/>
    </row>
    <row r="2" customFormat="false" ht="23.25" hidden="false" customHeight="true" outlineLevel="0" collapsed="false">
      <c r="A2" s="97" t="s">
        <v>625</v>
      </c>
      <c r="B2" s="97"/>
      <c r="C2" s="97"/>
      <c r="D2" s="97"/>
      <c r="E2" s="97"/>
      <c r="F2" s="97"/>
      <c r="G2" s="97"/>
    </row>
    <row r="3" customFormat="false" ht="19.5" hidden="false" customHeight="true" outlineLevel="0" collapsed="false">
      <c r="A3" s="25" t="s">
        <v>168</v>
      </c>
      <c r="B3" s="49" t="str">
        <f aca="false">薪資總表!$B$1</f>
        <v>115年01月</v>
      </c>
      <c r="D3" s="25" t="s">
        <v>626</v>
      </c>
      <c r="E3" s="98" t="n">
        <f aca="true">TODAY()</f>
        <v>46184</v>
      </c>
      <c r="F3" s="98"/>
      <c r="G3" s="98"/>
    </row>
    <row r="4" customFormat="false" ht="19.5" hidden="false" customHeight="true" outlineLevel="0" collapsed="false">
      <c r="A4" s="99" t="s">
        <v>627</v>
      </c>
      <c r="B4" s="100" t="s">
        <v>481</v>
      </c>
      <c r="D4" s="25" t="s">
        <v>63</v>
      </c>
      <c r="E4" s="49" t="str">
        <f aca="false">IFERROR(VLOOKUP($B$4,員工清單!$A$4:$Q$53,2,FALSE()),"")</f>
        <v>王小明</v>
      </c>
      <c r="F4" s="25" t="s">
        <v>66</v>
      </c>
      <c r="G4" s="49" t="str">
        <f aca="false">IFERROR(VLOOKUP($B$4,員工清單!$A$4:$Q$53,3,FALSE()),"")</f>
        <v>資訊部</v>
      </c>
    </row>
    <row r="5" customFormat="false" ht="19.5" hidden="false" customHeight="true" outlineLevel="0" collapsed="false">
      <c r="A5" s="25" t="s">
        <v>69</v>
      </c>
      <c r="B5" s="49" t="str">
        <f aca="false">IFERROR(VLOOKUP($B$4,員工清單!$A$4:$Q$53,4,FALSE()),"")</f>
        <v>工程師</v>
      </c>
      <c r="D5" s="25" t="s">
        <v>72</v>
      </c>
      <c r="E5" s="98" t="n">
        <f aca="false">IFERROR(VLOOKUP($B$4,員工清單!$A$4:$Q$53,5,FALSE()),"")</f>
        <v>43525</v>
      </c>
      <c r="F5" s="25" t="s">
        <v>79</v>
      </c>
      <c r="G5" s="49" t="str">
        <f aca="false">IFERROR(VLOOKUP($B$4,員工清單!$A$4:$Q$53,7,FALSE()),"")</f>
        <v>7年3月</v>
      </c>
    </row>
    <row r="6" customFormat="false" ht="19.5" hidden="false" customHeight="true" outlineLevel="0" collapsed="false">
      <c r="A6" s="25" t="s">
        <v>628</v>
      </c>
      <c r="B6" s="49" t="str">
        <f aca="false">IFERROR(VLOOKUP($B$4,員工清單!$A$4:$Q$53,8,FALSE())&amp;" 日","")</f>
        <v>15 日</v>
      </c>
      <c r="D6" s="25" t="s">
        <v>106</v>
      </c>
      <c r="E6" s="101" t="n">
        <f aca="false">IFERROR(VLOOKUP($B$4,員工清單!$A$4:$Q$53,16,FALSE()),"")</f>
        <v>0.06</v>
      </c>
      <c r="F6" s="25" t="s">
        <v>629</v>
      </c>
      <c r="G6" s="49" t="str">
        <f aca="false">IFERROR(VLOOKUP($B$4,員工清單!$A$4:$Q$53,14,FALSE())&amp;" 口（計費 "&amp;VLOOKUP($B$4,員工清單!$A$4:$Q$53,15,FALSE())&amp;" 口）","")</f>
        <v>1 口（計費 1 口）</v>
      </c>
    </row>
    <row r="7" customFormat="false" ht="19.5" hidden="false" customHeight="true" outlineLevel="0" collapsed="false"/>
    <row r="8" customFormat="false" ht="19.5" hidden="false" customHeight="true" outlineLevel="0" collapsed="false">
      <c r="A8" s="24" t="s">
        <v>630</v>
      </c>
      <c r="B8" s="24" t="s">
        <v>631</v>
      </c>
      <c r="C8" s="24"/>
      <c r="D8" s="24" t="s">
        <v>632</v>
      </c>
      <c r="E8" s="24" t="s">
        <v>631</v>
      </c>
      <c r="F8" s="24"/>
      <c r="G8" s="24"/>
    </row>
    <row r="9" customFormat="false" ht="19.5" hidden="false" customHeight="true" outlineLevel="0" collapsed="false">
      <c r="A9" s="26" t="s">
        <v>147</v>
      </c>
      <c r="B9" s="45" t="n">
        <f aca="false">IF($B$4="","",SUMIF(薪資結構!$A$4:$A$53,$B$4,薪資結構!C$4:C$53))</f>
        <v>54000</v>
      </c>
      <c r="C9" s="45"/>
      <c r="D9" s="26" t="s">
        <v>633</v>
      </c>
      <c r="E9" s="45" t="n">
        <f aca="false">IFERROR(VLOOKUP($B$4,薪資總表!$A$4:$AE$53,17,FALSE()),0)</f>
        <v>1145</v>
      </c>
      <c r="F9" s="45"/>
      <c r="G9" s="45"/>
    </row>
    <row r="10" customFormat="false" ht="19.5" hidden="false" customHeight="true" outlineLevel="0" collapsed="false">
      <c r="A10" s="26" t="s">
        <v>634</v>
      </c>
      <c r="B10" s="45" t="n">
        <f aca="false">IF($B$4="","",SUMIF(薪資結構!$A$4:$A$53,$B$4,薪資結構!D$4:D$53))+SUMIF(薪資結構!$A$4:$A$53,$B$4,薪資結構!E$4:E$53)+SUMIF(薪資結構!$A$4:$A$53,$B$4,薪資結構!F$4:F$53)</f>
        <v>6000</v>
      </c>
      <c r="C10" s="45"/>
      <c r="D10" s="26" t="s">
        <v>635</v>
      </c>
      <c r="E10" s="45" t="n">
        <f aca="false">IFERROR(VLOOKUP($B$4,薪資總表!$A$4:$AE$53,18,FALSE()),0)</f>
        <v>2072</v>
      </c>
      <c r="F10" s="45"/>
      <c r="G10" s="45"/>
    </row>
    <row r="11" customFormat="false" ht="19.5" hidden="false" customHeight="true" outlineLevel="0" collapsed="false">
      <c r="A11" s="26" t="s">
        <v>155</v>
      </c>
      <c r="B11" s="45" t="n">
        <f aca="false">IF($B$4="","",SUMIF(薪資結構!$A$4:$A$53,$B$4,薪資結構!G$4:G$53))</f>
        <v>3000</v>
      </c>
      <c r="C11" s="45"/>
      <c r="D11" s="26" t="s">
        <v>636</v>
      </c>
      <c r="E11" s="45" t="n">
        <f aca="false">IFERROR(VLOOKUP($B$4,薪資總表!$A$4:$AE$53,19,FALSE()),0)</f>
        <v>4008</v>
      </c>
      <c r="F11" s="45"/>
      <c r="G11" s="45"/>
    </row>
    <row r="12" customFormat="false" ht="19.5" hidden="false" customHeight="true" outlineLevel="0" collapsed="false">
      <c r="A12" s="26" t="s">
        <v>637</v>
      </c>
      <c r="B12" s="45" t="n">
        <f aca="false">IF($B$4="","",SUMIF(薪資結構!$A$4:$A$53,$B$4,薪資結構!H$4:H$53))+SUMIF(薪資結構!$A$4:$A$53,$B$4,薪資結構!I$4:I$53)+SUMIF(薪資結構!$A$4:$A$53,$B$4,薪資結構!J$4:J$53)</f>
        <v>2000</v>
      </c>
      <c r="C12" s="45"/>
      <c r="D12" s="26" t="s">
        <v>196</v>
      </c>
      <c r="E12" s="45" t="n">
        <f aca="false">IFERROR(VLOOKUP($B$4,薪資總表!$A$4:$AE$53,16,FALSE()),0)</f>
        <v>0</v>
      </c>
      <c r="F12" s="45"/>
      <c r="G12" s="45"/>
    </row>
    <row r="13" customFormat="false" ht="19.5" hidden="false" customHeight="true" outlineLevel="0" collapsed="false">
      <c r="A13" s="26" t="s">
        <v>184</v>
      </c>
      <c r="B13" s="45" t="n">
        <f aca="false">IFERROR(VLOOKUP($B$4,薪資總表!$A$4:$AE$53,10,FALSE()),"")</f>
        <v>2167</v>
      </c>
      <c r="C13" s="45"/>
      <c r="D13" s="26" t="s">
        <v>638</v>
      </c>
      <c r="E13" s="45" t="n">
        <f aca="false">IFERROR(VLOOKUP($B$4,薪資總表!$A$4:$AE$53,21,FALSE()),0)</f>
        <v>0</v>
      </c>
      <c r="F13" s="45"/>
      <c r="G13" s="45"/>
    </row>
    <row r="14" customFormat="false" ht="19.5" hidden="false" customHeight="true" outlineLevel="0" collapsed="false">
      <c r="A14" s="26" t="s">
        <v>186</v>
      </c>
      <c r="B14" s="45" t="n">
        <f aca="false">IFERROR(VLOOKUP($B$4,薪資總表!$A$4:$AE$53,11,FALSE()),"")</f>
        <v>0</v>
      </c>
      <c r="C14" s="45"/>
      <c r="D14" s="26" t="s">
        <v>208</v>
      </c>
      <c r="E14" s="45" t="n">
        <f aca="false">IFERROR(VLOOKUP($B$4,薪資總表!$A$4:$AE$53,22,FALSE()),0)</f>
        <v>0</v>
      </c>
      <c r="F14" s="45"/>
      <c r="G14" s="45"/>
    </row>
    <row r="15" customFormat="false" ht="19.5" hidden="false" customHeight="true" outlineLevel="0" collapsed="false">
      <c r="A15" s="26" t="s">
        <v>188</v>
      </c>
      <c r="B15" s="45" t="n">
        <f aca="false">IFERROR(VLOOKUP($B$4,薪資總表!$A$4:$AE$53,12,FALSE()),"")</f>
        <v>0</v>
      </c>
      <c r="C15" s="45"/>
      <c r="D15" s="26" t="s">
        <v>210</v>
      </c>
      <c r="E15" s="45" t="n">
        <f aca="false">IFERROR(VLOOKUP($B$4,薪資總表!$A$4:$AE$53,23,FALSE()),0)</f>
        <v>0</v>
      </c>
      <c r="F15" s="45"/>
      <c r="G15" s="45"/>
    </row>
    <row r="16" customFormat="false" ht="19.5" hidden="false" customHeight="true" outlineLevel="0" collapsed="false">
      <c r="A16" s="102" t="s">
        <v>190</v>
      </c>
      <c r="B16" s="103" t="n">
        <f aca="false">IFERROR(VLOOKUP($B$4,薪資總表!$A$4:$AE$53,13,FALSE()),0)</f>
        <v>67167</v>
      </c>
      <c r="C16" s="103"/>
      <c r="D16" s="104" t="s">
        <v>213</v>
      </c>
      <c r="E16" s="105" t="n">
        <f aca="false">IFERROR(VLOOKUP($B$4,薪資總表!$A$4:$AE$53,24,FALSE()),0)</f>
        <v>7225</v>
      </c>
      <c r="F16" s="105"/>
      <c r="G16" s="105"/>
    </row>
    <row r="17" customFormat="false" ht="19.5" hidden="false" customHeight="true" outlineLevel="0" collapsed="false"/>
    <row r="18" customFormat="false" ht="30" hidden="false" customHeight="true" outlineLevel="0" collapsed="false">
      <c r="A18" s="106" t="s">
        <v>639</v>
      </c>
      <c r="B18" s="106"/>
      <c r="C18" s="106"/>
      <c r="D18" s="106"/>
      <c r="E18" s="107" t="n">
        <f aca="false">IFERROR(VLOOKUP($B$4,薪資總表!$A$4:$AE$53,25,FALSE()),0)</f>
        <v>59942</v>
      </c>
      <c r="F18" s="107"/>
      <c r="G18" s="107"/>
    </row>
    <row r="19" customFormat="false" ht="19.5" hidden="false" customHeight="true" outlineLevel="0" collapsed="false"/>
    <row r="20" customFormat="false" ht="19.5" hidden="false" customHeight="true" outlineLevel="0" collapsed="false">
      <c r="A20" s="34" t="s">
        <v>640</v>
      </c>
      <c r="B20" s="34"/>
      <c r="C20" s="34"/>
      <c r="D20" s="34"/>
      <c r="E20" s="108" t="n">
        <f aca="false">IFERROR(VLOOKUP($B$4,薪資總表!$A$4:$AE$53,29,FALSE()),"")</f>
        <v>4008</v>
      </c>
      <c r="F20" s="108"/>
      <c r="G20" s="108"/>
    </row>
    <row r="21" customFormat="false" ht="19.5" hidden="false" customHeight="true" outlineLevel="0" collapsed="false">
      <c r="A21" s="34" t="s">
        <v>88</v>
      </c>
      <c r="B21" s="34"/>
      <c r="C21" s="34"/>
      <c r="D21" s="34"/>
      <c r="E21" s="108" t="n">
        <f aca="false">IFERROR(VLOOKUP($B$4,員工清單!$A$4:$Q$53,10,FALSE()),"")</f>
        <v>45800</v>
      </c>
      <c r="F21" s="108"/>
      <c r="G21" s="108"/>
    </row>
    <row r="22" customFormat="false" ht="19.5" hidden="false" customHeight="true" outlineLevel="0" collapsed="false">
      <c r="A22" s="34" t="s">
        <v>94</v>
      </c>
      <c r="B22" s="34"/>
      <c r="C22" s="34"/>
      <c r="D22" s="34"/>
      <c r="E22" s="108" t="n">
        <f aca="false">IFERROR(VLOOKUP($B$4,員工清單!$A$4:$Q$53,12,FALSE()),"")</f>
        <v>66800</v>
      </c>
      <c r="F22" s="108"/>
      <c r="G22" s="108"/>
    </row>
    <row r="23" customFormat="false" ht="19.5" hidden="false" customHeight="true" outlineLevel="0" collapsed="false">
      <c r="A23" s="34" t="s">
        <v>97</v>
      </c>
      <c r="B23" s="34"/>
      <c r="C23" s="34"/>
      <c r="D23" s="34"/>
      <c r="E23" s="108" t="n">
        <f aca="false">IFERROR(VLOOKUP($B$4,員工清單!$A$4:$Q$53,13,FALSE()),"")</f>
        <v>66800</v>
      </c>
      <c r="F23" s="108"/>
      <c r="G23" s="108"/>
    </row>
    <row r="24" customFormat="false" ht="19.5" hidden="false" customHeight="true" outlineLevel="0" collapsed="false"/>
    <row r="25" customFormat="false" ht="15" hidden="false" customHeight="true" outlineLevel="0" collapsed="false">
      <c r="A25" s="109" t="s">
        <v>641</v>
      </c>
      <c r="B25" s="109"/>
      <c r="C25" s="109"/>
      <c r="D25" s="109"/>
      <c r="E25" s="109"/>
      <c r="F25" s="109"/>
      <c r="G25" s="109"/>
    </row>
    <row r="26" customFormat="false" ht="15" hidden="false" customHeight="true" outlineLevel="0" collapsed="false">
      <c r="A26" s="109"/>
      <c r="B26" s="109"/>
      <c r="C26" s="109"/>
      <c r="D26" s="109"/>
      <c r="E26" s="109"/>
      <c r="F26" s="109"/>
      <c r="G26" s="109"/>
    </row>
    <row r="27" customFormat="false" ht="15" hidden="false" customHeight="true" outlineLevel="0" collapsed="false">
      <c r="A27" s="109"/>
      <c r="B27" s="109"/>
      <c r="C27" s="109"/>
      <c r="D27" s="109"/>
      <c r="E27" s="109"/>
      <c r="F27" s="109"/>
      <c r="G27" s="109"/>
    </row>
  </sheetData>
  <mergeCells count="32">
    <mergeCell ref="A1:G1"/>
    <mergeCell ref="A2:G2"/>
    <mergeCell ref="E3:G3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B16:C16"/>
    <mergeCell ref="E16:G16"/>
    <mergeCell ref="A18:D18"/>
    <mergeCell ref="E18:G18"/>
    <mergeCell ref="A20:D20"/>
    <mergeCell ref="E20:G20"/>
    <mergeCell ref="A21:D21"/>
    <mergeCell ref="E21:G21"/>
    <mergeCell ref="A22:D22"/>
    <mergeCell ref="E22:G22"/>
    <mergeCell ref="A23:D23"/>
    <mergeCell ref="E23:G23"/>
    <mergeCell ref="A25:G27"/>
  </mergeCells>
  <dataValidations count="1">
    <dataValidation allowBlank="false" errorStyle="stop" operator="between" prompt="請由下拉清單選擇員工編號" promptTitle="選擇員工" showDropDown="false" showErrorMessage="false" showInputMessage="false" sqref="B4" type="list">
      <formula1>員工清單!$A$4:$A$53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2026-06-11T08:19:22Z</dcterms:created>
  <dc:creator>openpyxl</dc:creator>
  <dc:description/>
  <dc:language>en-US</dc:language>
  <cp:lastModifiedBy/>
  <dcterms:modified xsi:type="dcterms:W3CDTF">2026-06-11T09:46:06Z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